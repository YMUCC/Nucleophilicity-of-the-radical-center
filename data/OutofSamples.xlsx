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GitHub\data\"/>
    </mc:Choice>
  </mc:AlternateContent>
  <xr:revisionPtr revIDLastSave="0" documentId="13_ncr:1_{3911345D-58BB-4921-84AF-3206FE32A3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n-Metal" sheetId="6" r:id="rId1"/>
    <sheet name="Metal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" i="8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" i="6"/>
</calcChain>
</file>

<file path=xl/sharedStrings.xml><?xml version="1.0" encoding="utf-8"?>
<sst xmlns="http://schemas.openxmlformats.org/spreadsheetml/2006/main" count="139" uniqueCount="101">
  <si>
    <t>Name</t>
  </si>
  <si>
    <t>Cation</t>
  </si>
  <si>
    <t>Atom</t>
  </si>
  <si>
    <t>AN</t>
  </si>
  <si>
    <t>AW</t>
  </si>
  <si>
    <t>DP</t>
  </si>
  <si>
    <t>EV</t>
  </si>
  <si>
    <t>EN</t>
  </si>
  <si>
    <t>Density</t>
  </si>
  <si>
    <t>Charge</t>
  </si>
  <si>
    <t>homo</t>
  </si>
  <si>
    <t>lumo</t>
  </si>
  <si>
    <t>disp</t>
  </si>
  <si>
    <t>C</t>
  </si>
  <si>
    <t>Netural</t>
  </si>
  <si>
    <t>W_ev</t>
  </si>
  <si>
    <t>fk</t>
  </si>
  <si>
    <t>Ato_num1</t>
  </si>
  <si>
    <t>Ele1</t>
  </si>
  <si>
    <t>Ele2</t>
  </si>
  <si>
    <t>Ele3</t>
  </si>
  <si>
    <t>B-1</t>
  </si>
  <si>
    <t>B</t>
  </si>
  <si>
    <t>B-4</t>
  </si>
  <si>
    <t>C-1</t>
  </si>
  <si>
    <t>C-2</t>
  </si>
  <si>
    <t>C-3</t>
  </si>
  <si>
    <t>C-4</t>
  </si>
  <si>
    <t>N-1</t>
  </si>
  <si>
    <t>N</t>
  </si>
  <si>
    <t>N-2</t>
  </si>
  <si>
    <t>N-3</t>
  </si>
  <si>
    <t>N-4</t>
  </si>
  <si>
    <t>O-1</t>
  </si>
  <si>
    <t>O</t>
  </si>
  <si>
    <t>O-2</t>
  </si>
  <si>
    <t>O-3</t>
  </si>
  <si>
    <t>P-1</t>
  </si>
  <si>
    <t>P</t>
  </si>
  <si>
    <t>P-2</t>
  </si>
  <si>
    <t>S-1</t>
  </si>
  <si>
    <t>S</t>
  </si>
  <si>
    <t>S-2</t>
  </si>
  <si>
    <t>S-3</t>
  </si>
  <si>
    <t>Si-1</t>
  </si>
  <si>
    <t>Si</t>
  </si>
  <si>
    <t>Si-2</t>
  </si>
  <si>
    <t>B1</t>
  </si>
  <si>
    <t>B2</t>
  </si>
  <si>
    <t>C1</t>
  </si>
  <si>
    <t>Co1</t>
  </si>
  <si>
    <t>Co</t>
  </si>
  <si>
    <t>Co2</t>
  </si>
  <si>
    <t>Mn1</t>
  </si>
  <si>
    <t>Mn</t>
  </si>
  <si>
    <t>N1</t>
  </si>
  <si>
    <t>N2</t>
  </si>
  <si>
    <t>Re1</t>
  </si>
  <si>
    <t>Re</t>
  </si>
  <si>
    <t>Sn1</t>
  </si>
  <si>
    <t>Sn</t>
  </si>
  <si>
    <t>Ti1</t>
  </si>
  <si>
    <t>Ti</t>
  </si>
  <si>
    <t>W1</t>
  </si>
  <si>
    <t>W</t>
  </si>
  <si>
    <t>spin</t>
    <phoneticPr fontId="4" type="noConversion"/>
  </si>
  <si>
    <t>Al1</t>
    <phoneticPr fontId="7" type="noConversion"/>
  </si>
  <si>
    <t>As1</t>
    <phoneticPr fontId="7" type="noConversion"/>
  </si>
  <si>
    <t>Bi1</t>
    <phoneticPr fontId="7" type="noConversion"/>
  </si>
  <si>
    <t>Fe1</t>
    <phoneticPr fontId="7" type="noConversion"/>
  </si>
  <si>
    <t>Ga1</t>
    <phoneticPr fontId="7" type="noConversion"/>
  </si>
  <si>
    <t>Ge1</t>
    <phoneticPr fontId="7" type="noConversion"/>
  </si>
  <si>
    <t>In1</t>
    <phoneticPr fontId="7" type="noConversion"/>
  </si>
  <si>
    <t>Mo1</t>
    <phoneticPr fontId="7" type="noConversion"/>
  </si>
  <si>
    <t>P1</t>
    <phoneticPr fontId="7" type="noConversion"/>
  </si>
  <si>
    <t>Pb1</t>
    <phoneticPr fontId="7" type="noConversion"/>
  </si>
  <si>
    <t>S1</t>
    <phoneticPr fontId="7" type="noConversion"/>
  </si>
  <si>
    <t>Sb1</t>
    <phoneticPr fontId="7" type="noConversion"/>
  </si>
  <si>
    <t>Sn2</t>
    <phoneticPr fontId="7" type="noConversion"/>
  </si>
  <si>
    <t>Ti2</t>
    <phoneticPr fontId="7" type="noConversion"/>
  </si>
  <si>
    <t>Al</t>
    <phoneticPr fontId="7" type="noConversion"/>
  </si>
  <si>
    <t>As</t>
    <phoneticPr fontId="7" type="noConversion"/>
  </si>
  <si>
    <t>Bi</t>
    <phoneticPr fontId="7" type="noConversion"/>
  </si>
  <si>
    <t>Fe</t>
    <phoneticPr fontId="7" type="noConversion"/>
  </si>
  <si>
    <t>Ga</t>
    <phoneticPr fontId="7" type="noConversion"/>
  </si>
  <si>
    <t>Ge</t>
    <phoneticPr fontId="7" type="noConversion"/>
  </si>
  <si>
    <t>In</t>
    <phoneticPr fontId="7" type="noConversion"/>
  </si>
  <si>
    <t>Mo</t>
    <phoneticPr fontId="7" type="noConversion"/>
  </si>
  <si>
    <t>P</t>
    <phoneticPr fontId="7" type="noConversion"/>
  </si>
  <si>
    <t>Pb</t>
    <phoneticPr fontId="7" type="noConversion"/>
  </si>
  <si>
    <t>S</t>
    <phoneticPr fontId="7" type="noConversion"/>
  </si>
  <si>
    <t>Sb</t>
    <phoneticPr fontId="7" type="noConversion"/>
  </si>
  <si>
    <t>Sn</t>
    <phoneticPr fontId="7" type="noConversion"/>
  </si>
  <si>
    <t>BV</t>
    <phoneticPr fontId="4" type="noConversion"/>
  </si>
  <si>
    <t>ENN</t>
    <phoneticPr fontId="4" type="noConversion"/>
  </si>
  <si>
    <t>ANN</t>
    <phoneticPr fontId="4" type="noConversion"/>
  </si>
  <si>
    <t>ANN</t>
  </si>
  <si>
    <t>ENN</t>
  </si>
  <si>
    <t>BV</t>
  </si>
  <si>
    <t>fk-B3-QZVP</t>
    <phoneticPr fontId="4" type="noConversion"/>
  </si>
  <si>
    <t>Tl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</si>
</sst>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8" formatCode="0.000_ "/>
    <numFmt numFmtId="179" formatCode="0.0_);[Red]\(0.0\)"/>
  </numFmts>
  <fonts count="9">
    <font>
      <sz val="11"/>
      <color theme="1"/>
      <name val="等线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76" fontId="0" fillId="0" borderId="0" xfId="0" applyNumberFormat="1"/>
    <xf numFmtId="0" fontId="2" fillId="0" borderId="0" xfId="0" applyFont="1"/>
    <xf numFmtId="0" fontId="3" fillId="0" borderId="0" xfId="0" applyFont="1"/>
    <xf numFmtId="176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78" fontId="0" fillId="0" borderId="0" xfId="0" applyNumberFormat="1" applyAlignment="1">
      <alignment vertical="center"/>
    </xf>
    <xf numFmtId="179" fontId="0" fillId="0" borderId="0" xfId="0" applyNumberFormat="1" applyAlignment="1">
      <alignment vertical="center"/>
    </xf>
    <xf numFmtId="0" fontId="0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8" fillId="0" borderId="0" xfId="0" applyFont="1"/>
    <xf numFmtId="178" fontId="5" fillId="0" borderId="0" xfId="0" applyNumberFormat="1" applyFont="1" applyAlignment="1">
      <alignment vertical="center"/>
    </xf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2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629"/>
  <sheetViews>
    <sheetView tabSelected="1" zoomScale="160" zoomScaleNormal="160" workbookViewId="0">
      <selection activeCell="G9" sqref="G9"/>
    </sheetView>
  </sheetViews>
  <sheetFormatPr defaultColWidth="9" defaultRowHeight="14.25"/>
  <cols>
    <col min="35" max="40" width="9" style="7"/>
  </cols>
  <sheetData>
    <row r="1" spans="1:34" ht="15.75">
      <c r="A1" s="7" t="s">
        <v>0</v>
      </c>
      <c r="B1" s="7" t="s">
        <v>2</v>
      </c>
      <c r="C1" s="7" t="s">
        <v>14</v>
      </c>
      <c r="D1" s="7" t="s">
        <v>1</v>
      </c>
      <c r="E1" s="8" t="s">
        <v>15</v>
      </c>
      <c r="F1" s="7" t="s">
        <v>16</v>
      </c>
      <c r="G1" s="8" t="s">
        <v>10</v>
      </c>
      <c r="H1" s="8" t="s">
        <v>11</v>
      </c>
      <c r="I1" s="9" t="s">
        <v>12</v>
      </c>
      <c r="J1" s="7" t="s">
        <v>3</v>
      </c>
      <c r="K1" s="7" t="s">
        <v>17</v>
      </c>
      <c r="L1" s="8" t="s">
        <v>4</v>
      </c>
      <c r="M1" s="7" t="s">
        <v>9</v>
      </c>
      <c r="N1" s="7" t="s">
        <v>8</v>
      </c>
      <c r="O1" s="7" t="s">
        <v>5</v>
      </c>
      <c r="P1" s="7" t="s">
        <v>6</v>
      </c>
      <c r="Q1" s="7" t="s">
        <v>7</v>
      </c>
      <c r="R1" s="7" t="s">
        <v>18</v>
      </c>
      <c r="S1" s="7" t="s">
        <v>19</v>
      </c>
      <c r="T1" s="7" t="s">
        <v>20</v>
      </c>
      <c r="U1" s="13" t="s">
        <v>96</v>
      </c>
      <c r="V1" s="13" t="s">
        <v>97</v>
      </c>
      <c r="W1" s="13" t="s">
        <v>98</v>
      </c>
      <c r="X1" s="1"/>
      <c r="AF1" s="1"/>
    </row>
    <row r="2" spans="1:34" ht="15.75">
      <c r="A2" s="7" t="s">
        <v>21</v>
      </c>
      <c r="B2" s="7" t="s">
        <v>22</v>
      </c>
      <c r="C2" s="7">
        <v>0.48299999999999998</v>
      </c>
      <c r="D2" s="7">
        <v>0.90100000000000002</v>
      </c>
      <c r="E2" s="8">
        <v>2.8190793088114101</v>
      </c>
      <c r="F2" s="7">
        <f>-(C2-D2)</f>
        <v>0.41800000000000004</v>
      </c>
      <c r="G2" s="8">
        <v>-0.37259999999999999</v>
      </c>
      <c r="H2" s="8">
        <v>-0.29189999999999999</v>
      </c>
      <c r="I2" s="9">
        <v>19.899999999999999</v>
      </c>
      <c r="J2" s="7">
        <v>5</v>
      </c>
      <c r="K2" s="7">
        <v>6</v>
      </c>
      <c r="L2" s="8">
        <v>10.81</v>
      </c>
      <c r="M2" s="7">
        <v>0</v>
      </c>
      <c r="N2" s="7">
        <v>2.34</v>
      </c>
      <c r="O2" s="7">
        <v>20.5</v>
      </c>
      <c r="P2" s="7">
        <v>3</v>
      </c>
      <c r="Q2" s="7">
        <v>2.04</v>
      </c>
      <c r="R2" s="7">
        <v>2.5499999999999998</v>
      </c>
      <c r="S2" s="7">
        <v>2.5499999999999998</v>
      </c>
      <c r="T2" s="7">
        <v>2.5499999999999998</v>
      </c>
      <c r="U2" s="13">
        <v>18</v>
      </c>
      <c r="V2" s="13">
        <v>7.65</v>
      </c>
      <c r="W2" s="13">
        <v>68.637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15.75">
      <c r="A3" s="7" t="s">
        <v>23</v>
      </c>
      <c r="B3" s="7" t="s">
        <v>22</v>
      </c>
      <c r="C3" s="7">
        <v>0.78700000000000003</v>
      </c>
      <c r="D3" s="7">
        <v>1.4259999999999999</v>
      </c>
      <c r="E3" s="8">
        <v>0.87749771453441405</v>
      </c>
      <c r="F3" s="7">
        <f t="shared" ref="F3:F21" si="0">-(C3-D3)</f>
        <v>0.6389999999999999</v>
      </c>
      <c r="G3" s="8">
        <v>-0.37659999999999999</v>
      </c>
      <c r="H3" s="8">
        <v>-0.1918</v>
      </c>
      <c r="I3" s="9">
        <v>15.4</v>
      </c>
      <c r="J3" s="7">
        <v>5</v>
      </c>
      <c r="K3" s="7">
        <v>8</v>
      </c>
      <c r="L3" s="8">
        <v>10.81</v>
      </c>
      <c r="M3" s="7">
        <v>0</v>
      </c>
      <c r="N3" s="7">
        <v>2.34</v>
      </c>
      <c r="O3" s="7">
        <v>20.5</v>
      </c>
      <c r="P3" s="7">
        <v>3</v>
      </c>
      <c r="Q3" s="7">
        <v>2.04</v>
      </c>
      <c r="R3" s="7">
        <v>3.44</v>
      </c>
      <c r="S3" s="7">
        <v>3.44</v>
      </c>
      <c r="T3" s="7">
        <v>0</v>
      </c>
      <c r="U3" s="13">
        <v>23</v>
      </c>
      <c r="V3" s="13">
        <v>9.92</v>
      </c>
      <c r="W3" s="13">
        <v>57.332000000000001</v>
      </c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15.75">
      <c r="A4" s="7" t="s">
        <v>24</v>
      </c>
      <c r="B4" s="7" t="s">
        <v>13</v>
      </c>
      <c r="C4" s="7">
        <v>-0.109</v>
      </c>
      <c r="D4" s="7">
        <v>0.47899999999999998</v>
      </c>
      <c r="E4" s="8">
        <v>1.52360539990318</v>
      </c>
      <c r="F4" s="7">
        <f t="shared" si="0"/>
        <v>0.58799999999999997</v>
      </c>
      <c r="G4" s="8">
        <v>-0.41339999999999999</v>
      </c>
      <c r="H4" s="8">
        <v>-0.28889999999999999</v>
      </c>
      <c r="I4" s="9">
        <v>15.1</v>
      </c>
      <c r="J4" s="7">
        <v>6</v>
      </c>
      <c r="K4" s="7">
        <v>6</v>
      </c>
      <c r="L4" s="8">
        <v>12.010999999999999</v>
      </c>
      <c r="M4" s="7">
        <v>0</v>
      </c>
      <c r="N4" s="7">
        <v>2.2000000000000002</v>
      </c>
      <c r="O4" s="7">
        <v>11.3</v>
      </c>
      <c r="P4" s="7">
        <v>4</v>
      </c>
      <c r="Q4" s="7">
        <v>2.5499999999999998</v>
      </c>
      <c r="R4" s="7">
        <v>2.5499999999999998</v>
      </c>
      <c r="S4" s="7">
        <v>2.5499999999999998</v>
      </c>
      <c r="T4" s="7">
        <v>2.2000000000000002</v>
      </c>
      <c r="U4" s="13">
        <v>13</v>
      </c>
      <c r="V4" s="13">
        <v>7.3</v>
      </c>
      <c r="W4" s="13">
        <v>46.139000000000003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15.75">
      <c r="A5" s="7" t="s">
        <v>25</v>
      </c>
      <c r="B5" s="7" t="s">
        <v>13</v>
      </c>
      <c r="C5" s="7">
        <v>-1.4999999999999999E-2</v>
      </c>
      <c r="D5" s="7">
        <v>0.434</v>
      </c>
      <c r="E5" s="8">
        <v>1.38841959092208</v>
      </c>
      <c r="F5" s="7">
        <f t="shared" si="0"/>
        <v>0.44900000000000001</v>
      </c>
      <c r="G5" s="8">
        <v>-0.39960000000000001</v>
      </c>
      <c r="H5" s="8">
        <v>-0.28570000000000001</v>
      </c>
      <c r="I5" s="9">
        <v>16.399999999999999</v>
      </c>
      <c r="J5" s="7">
        <v>6</v>
      </c>
      <c r="K5" s="7">
        <v>7</v>
      </c>
      <c r="L5" s="8">
        <v>12.010999999999999</v>
      </c>
      <c r="M5" s="7">
        <v>0</v>
      </c>
      <c r="N5" s="7">
        <v>2.2000000000000002</v>
      </c>
      <c r="O5" s="7">
        <v>11.3</v>
      </c>
      <c r="P5" s="7">
        <v>4</v>
      </c>
      <c r="Q5" s="7">
        <v>2.5499999999999998</v>
      </c>
      <c r="R5" s="7">
        <v>3.04</v>
      </c>
      <c r="S5" s="7">
        <v>2.5499999999999998</v>
      </c>
      <c r="T5" s="7">
        <v>2.2000000000000002</v>
      </c>
      <c r="U5" s="13">
        <v>14</v>
      </c>
      <c r="V5" s="13">
        <v>7.79</v>
      </c>
      <c r="W5" s="13">
        <v>47.213999999999999</v>
      </c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15.75">
      <c r="A6" s="7" t="s">
        <v>26</v>
      </c>
      <c r="B6" s="7" t="s">
        <v>13</v>
      </c>
      <c r="C6" s="7">
        <v>-0.25900000000000001</v>
      </c>
      <c r="D6" s="7">
        <v>7.0000000000000001E-3</v>
      </c>
      <c r="E6" s="8">
        <v>2.6355034393509502</v>
      </c>
      <c r="F6" s="7">
        <f t="shared" si="0"/>
        <v>0.26600000000000001</v>
      </c>
      <c r="G6" s="8">
        <v>-0.38479999999999998</v>
      </c>
      <c r="H6" s="8">
        <v>-0.28310000000000002</v>
      </c>
      <c r="I6" s="9">
        <v>18.5</v>
      </c>
      <c r="J6" s="7">
        <v>6</v>
      </c>
      <c r="K6" s="7">
        <v>6</v>
      </c>
      <c r="L6" s="8">
        <v>12.010999999999999</v>
      </c>
      <c r="M6" s="7">
        <v>0</v>
      </c>
      <c r="N6" s="7">
        <v>2.2000000000000002</v>
      </c>
      <c r="O6" s="7">
        <v>11.3</v>
      </c>
      <c r="P6" s="7">
        <v>4</v>
      </c>
      <c r="Q6" s="7">
        <v>2.5499999999999998</v>
      </c>
      <c r="R6" s="7">
        <v>2.5499999999999998</v>
      </c>
      <c r="S6" s="7">
        <v>2.5499999999999998</v>
      </c>
      <c r="T6" s="7">
        <v>2.2000000000000002</v>
      </c>
      <c r="U6" s="13">
        <v>13</v>
      </c>
      <c r="V6" s="13">
        <v>7.3</v>
      </c>
      <c r="W6" s="13">
        <v>46.591999999999999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ht="15.75">
      <c r="A7" s="7" t="s">
        <v>27</v>
      </c>
      <c r="B7" s="7" t="s">
        <v>13</v>
      </c>
      <c r="C7" s="7">
        <v>-0.13500000000000001</v>
      </c>
      <c r="D7" s="7">
        <v>0.152</v>
      </c>
      <c r="E7" s="8">
        <v>3.2799050975950101</v>
      </c>
      <c r="F7" s="7">
        <f t="shared" si="0"/>
        <v>0.28700000000000003</v>
      </c>
      <c r="G7" s="8">
        <v>-0.3886</v>
      </c>
      <c r="H7" s="8">
        <v>-0.30649999999999999</v>
      </c>
      <c r="I7" s="9">
        <v>17.899999999999999</v>
      </c>
      <c r="J7" s="7">
        <v>6</v>
      </c>
      <c r="K7" s="7">
        <v>6</v>
      </c>
      <c r="L7" s="8">
        <v>12.010999999999999</v>
      </c>
      <c r="M7" s="7">
        <v>0</v>
      </c>
      <c r="N7" s="7">
        <v>2.2000000000000002</v>
      </c>
      <c r="O7" s="7">
        <v>11.3</v>
      </c>
      <c r="P7" s="7">
        <v>4</v>
      </c>
      <c r="Q7" s="7">
        <v>2.5499999999999998</v>
      </c>
      <c r="R7" s="7">
        <v>2.5499999999999998</v>
      </c>
      <c r="S7" s="7">
        <v>2.5499999999999998</v>
      </c>
      <c r="T7" s="7">
        <v>2.2000000000000002</v>
      </c>
      <c r="U7" s="13">
        <v>13</v>
      </c>
      <c r="V7" s="13">
        <v>7.3</v>
      </c>
      <c r="W7" s="13">
        <v>45.566000000000003</v>
      </c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ht="15.75">
      <c r="A8" s="7" t="s">
        <v>28</v>
      </c>
      <c r="B8" s="7" t="s">
        <v>29</v>
      </c>
      <c r="C8" s="7">
        <v>-1.6E-2</v>
      </c>
      <c r="D8" s="7">
        <v>9.6000000000000002E-2</v>
      </c>
      <c r="E8" s="8">
        <v>9.7200547134211703</v>
      </c>
      <c r="F8" s="7">
        <f t="shared" si="0"/>
        <v>0.112</v>
      </c>
      <c r="G8" s="8">
        <v>-0.36280000000000001</v>
      </c>
      <c r="H8" s="8">
        <v>-0.2316</v>
      </c>
      <c r="I8" s="9">
        <v>16.600000000000001</v>
      </c>
      <c r="J8" s="7">
        <v>7</v>
      </c>
      <c r="K8" s="7">
        <v>6</v>
      </c>
      <c r="L8" s="8">
        <v>14.007</v>
      </c>
      <c r="M8" s="7">
        <v>1</v>
      </c>
      <c r="N8" s="7">
        <v>1.145E-3</v>
      </c>
      <c r="O8" s="7">
        <v>7.4</v>
      </c>
      <c r="P8" s="7">
        <v>5</v>
      </c>
      <c r="Q8" s="7">
        <v>3.04</v>
      </c>
      <c r="R8" s="7">
        <v>2.5499999999999998</v>
      </c>
      <c r="S8" s="7">
        <v>2.5499999999999998</v>
      </c>
      <c r="T8" s="7">
        <v>2.5499999999999998</v>
      </c>
      <c r="U8" s="13">
        <v>18</v>
      </c>
      <c r="V8" s="13">
        <v>7.6499999999999995</v>
      </c>
      <c r="W8" s="13">
        <v>57.158000000000001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ht="15.75">
      <c r="A9" s="7" t="s">
        <v>30</v>
      </c>
      <c r="B9" s="7" t="s">
        <v>29</v>
      </c>
      <c r="C9" s="7">
        <v>-0.41799999999999998</v>
      </c>
      <c r="D9" s="7">
        <v>-0.312</v>
      </c>
      <c r="E9" s="8">
        <v>9.7823272429372103</v>
      </c>
      <c r="F9" s="7">
        <f t="shared" si="0"/>
        <v>0.10599999999999998</v>
      </c>
      <c r="G9" s="8">
        <v>-0.3281</v>
      </c>
      <c r="H9" s="8">
        <v>-0.2344</v>
      </c>
      <c r="I9" s="9">
        <v>18.5</v>
      </c>
      <c r="J9" s="7">
        <v>7</v>
      </c>
      <c r="K9" s="7">
        <v>6</v>
      </c>
      <c r="L9" s="8">
        <v>14.007</v>
      </c>
      <c r="M9" s="7">
        <v>1</v>
      </c>
      <c r="N9" s="7">
        <v>1.145E-3</v>
      </c>
      <c r="O9" s="7">
        <v>7.4</v>
      </c>
      <c r="P9" s="7">
        <v>5</v>
      </c>
      <c r="Q9" s="7">
        <v>3.04</v>
      </c>
      <c r="R9" s="7">
        <v>2.5499999999999998</v>
      </c>
      <c r="S9" s="7">
        <v>2.5499999999999998</v>
      </c>
      <c r="T9" s="7">
        <v>2.2000000000000002</v>
      </c>
      <c r="U9" s="13">
        <v>13</v>
      </c>
      <c r="V9" s="13">
        <v>7.3</v>
      </c>
      <c r="W9" s="13">
        <v>58.423000000000002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>
      <c r="A10" s="7" t="s">
        <v>31</v>
      </c>
      <c r="B10" s="7" t="s">
        <v>29</v>
      </c>
      <c r="C10" s="7">
        <v>-0.247</v>
      </c>
      <c r="D10" s="7">
        <v>0.19</v>
      </c>
      <c r="E10" s="8">
        <v>3.5641360201577501</v>
      </c>
      <c r="F10" s="7">
        <f t="shared" si="0"/>
        <v>0.437</v>
      </c>
      <c r="G10" s="8">
        <v>-0.4047</v>
      </c>
      <c r="H10" s="8">
        <v>-0.37519999999999998</v>
      </c>
      <c r="I10" s="9">
        <v>17.3</v>
      </c>
      <c r="J10" s="7">
        <v>7</v>
      </c>
      <c r="K10" s="7">
        <v>6</v>
      </c>
      <c r="L10" s="8">
        <v>14.007</v>
      </c>
      <c r="M10" s="7">
        <v>0</v>
      </c>
      <c r="N10" s="7">
        <v>1.145E-3</v>
      </c>
      <c r="O10" s="7">
        <v>7.4</v>
      </c>
      <c r="P10" s="7">
        <v>5</v>
      </c>
      <c r="Q10" s="7">
        <v>3.04</v>
      </c>
      <c r="R10" s="7">
        <v>2.5499999999999998</v>
      </c>
      <c r="S10" s="7">
        <v>0</v>
      </c>
      <c r="T10" s="7">
        <v>0</v>
      </c>
      <c r="U10" s="13">
        <v>6</v>
      </c>
      <c r="V10" s="13">
        <v>2.5499999999999998</v>
      </c>
      <c r="W10" s="13">
        <v>36.741</v>
      </c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>
      <c r="A11" s="7" t="s">
        <v>32</v>
      </c>
      <c r="B11" s="7" t="s">
        <v>29</v>
      </c>
      <c r="C11" s="7">
        <v>-0.42199999999999999</v>
      </c>
      <c r="D11" s="7">
        <v>-0.24299999999999999</v>
      </c>
      <c r="E11" s="8">
        <v>4.96988606513343</v>
      </c>
      <c r="F11" s="7">
        <f t="shared" si="0"/>
        <v>0.17899999999999999</v>
      </c>
      <c r="G11" s="8">
        <v>-0.35570000000000002</v>
      </c>
      <c r="H11" s="8">
        <v>-0.3301</v>
      </c>
      <c r="I11" s="9">
        <v>19.399999999999999</v>
      </c>
      <c r="J11" s="7">
        <v>7</v>
      </c>
      <c r="K11" s="7">
        <v>6</v>
      </c>
      <c r="L11" s="8">
        <v>14.007</v>
      </c>
      <c r="M11" s="7">
        <v>0</v>
      </c>
      <c r="N11" s="7">
        <v>1.145E-3</v>
      </c>
      <c r="O11" s="7">
        <v>7.4</v>
      </c>
      <c r="P11" s="7">
        <v>5</v>
      </c>
      <c r="Q11" s="7">
        <v>3.04</v>
      </c>
      <c r="R11" s="7">
        <v>2.5499999999999998</v>
      </c>
      <c r="S11" s="7">
        <v>2.5499999999999998</v>
      </c>
      <c r="T11" s="7">
        <v>0</v>
      </c>
      <c r="U11" s="13">
        <v>12</v>
      </c>
      <c r="V11" s="13">
        <v>5.0999999999999996</v>
      </c>
      <c r="W11" s="13">
        <v>60.027000000000001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>
      <c r="A12" s="7" t="s">
        <v>33</v>
      </c>
      <c r="B12" s="7" t="s">
        <v>34</v>
      </c>
      <c r="C12" s="7">
        <v>-0.54700000000000004</v>
      </c>
      <c r="D12" s="7">
        <v>-0.35799999999999998</v>
      </c>
      <c r="E12" s="8">
        <v>5.8580276756988798</v>
      </c>
      <c r="F12" s="7">
        <f t="shared" si="0"/>
        <v>0.18900000000000006</v>
      </c>
      <c r="G12" s="8">
        <v>-0.39550000000000002</v>
      </c>
      <c r="H12" s="8">
        <v>-0.38030000000000003</v>
      </c>
      <c r="I12" s="9">
        <v>15.9</v>
      </c>
      <c r="J12" s="7">
        <v>8</v>
      </c>
      <c r="K12" s="7">
        <v>6</v>
      </c>
      <c r="L12" s="8">
        <v>15.999000000000001</v>
      </c>
      <c r="M12" s="7">
        <v>0</v>
      </c>
      <c r="N12" s="7">
        <v>1.3079999999999999E-3</v>
      </c>
      <c r="O12" s="7">
        <v>5.3</v>
      </c>
      <c r="P12" s="7">
        <v>6</v>
      </c>
      <c r="Q12" s="7">
        <v>3.44</v>
      </c>
      <c r="R12" s="7">
        <v>2.5499999999999998</v>
      </c>
      <c r="S12" s="7">
        <v>0</v>
      </c>
      <c r="T12" s="7">
        <v>0</v>
      </c>
      <c r="U12" s="13">
        <v>6</v>
      </c>
      <c r="V12" s="13">
        <v>2.5499999999999998</v>
      </c>
      <c r="W12" s="13">
        <v>30.672000000000001</v>
      </c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>
      <c r="A13" s="7" t="s">
        <v>35</v>
      </c>
      <c r="B13" s="7" t="s">
        <v>34</v>
      </c>
      <c r="C13" s="7">
        <v>-0.312</v>
      </c>
      <c r="D13" s="7">
        <v>-8.0000000000000002E-3</v>
      </c>
      <c r="E13" s="8">
        <v>3.7533436743688902</v>
      </c>
      <c r="F13" s="7">
        <f t="shared" si="0"/>
        <v>0.30399999999999999</v>
      </c>
      <c r="G13" s="8">
        <v>-0.39910000000000001</v>
      </c>
      <c r="H13" s="8">
        <v>-0.3931</v>
      </c>
      <c r="I13" s="9">
        <v>13.5</v>
      </c>
      <c r="J13" s="7">
        <v>8</v>
      </c>
      <c r="K13" s="7">
        <v>6</v>
      </c>
      <c r="L13" s="8">
        <v>15.999000000000001</v>
      </c>
      <c r="M13" s="7">
        <v>0</v>
      </c>
      <c r="N13" s="7">
        <v>1.3079999999999999E-3</v>
      </c>
      <c r="O13" s="7">
        <v>5.3</v>
      </c>
      <c r="P13" s="7">
        <v>6</v>
      </c>
      <c r="Q13" s="7">
        <v>3.44</v>
      </c>
      <c r="R13" s="7">
        <v>2.5499999999999998</v>
      </c>
      <c r="S13" s="7">
        <v>0</v>
      </c>
      <c r="T13" s="7">
        <v>0</v>
      </c>
      <c r="U13" s="13">
        <v>6</v>
      </c>
      <c r="V13" s="13">
        <v>2.5499999999999998</v>
      </c>
      <c r="W13" s="13">
        <v>37.707999999999998</v>
      </c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>
      <c r="A14" s="7" t="s">
        <v>36</v>
      </c>
      <c r="B14" s="7" t="s">
        <v>34</v>
      </c>
      <c r="C14" s="7">
        <v>-0.47399999999999998</v>
      </c>
      <c r="D14" s="7">
        <v>-0.16</v>
      </c>
      <c r="E14" s="8">
        <v>1.52715427051923</v>
      </c>
      <c r="F14" s="7">
        <f t="shared" si="0"/>
        <v>0.31399999999999995</v>
      </c>
      <c r="G14" s="8">
        <v>-0.37680000000000002</v>
      </c>
      <c r="H14" s="8">
        <v>-0.30470000000000003</v>
      </c>
      <c r="I14" s="9">
        <v>16.3</v>
      </c>
      <c r="J14" s="7">
        <v>8</v>
      </c>
      <c r="K14" s="7">
        <v>7</v>
      </c>
      <c r="L14" s="8">
        <v>15.999000000000001</v>
      </c>
      <c r="M14" s="7">
        <v>0</v>
      </c>
      <c r="N14" s="7">
        <v>1.3079999999999999E-3</v>
      </c>
      <c r="O14" s="7">
        <v>5.3</v>
      </c>
      <c r="P14" s="7">
        <v>6</v>
      </c>
      <c r="Q14" s="7">
        <v>3.44</v>
      </c>
      <c r="R14" s="7">
        <v>3.04</v>
      </c>
      <c r="S14" s="7">
        <v>0</v>
      </c>
      <c r="T14" s="7">
        <v>0</v>
      </c>
      <c r="U14" s="11">
        <v>7</v>
      </c>
      <c r="V14" s="11">
        <v>3.04</v>
      </c>
      <c r="W14" s="11">
        <v>47.177999999999997</v>
      </c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>
      <c r="A15" s="7" t="s">
        <v>37</v>
      </c>
      <c r="B15" s="7" t="s">
        <v>38</v>
      </c>
      <c r="C15" s="7">
        <v>0.65600000000000003</v>
      </c>
      <c r="D15" s="7">
        <v>1.5309999999999999</v>
      </c>
      <c r="E15" s="8">
        <v>3.5921046484072101</v>
      </c>
      <c r="F15" s="7">
        <f t="shared" si="0"/>
        <v>0.87499999999999989</v>
      </c>
      <c r="G15" s="8">
        <v>-0.38490000000000002</v>
      </c>
      <c r="H15" s="8">
        <v>-0.3226</v>
      </c>
      <c r="I15" s="9">
        <v>19.2</v>
      </c>
      <c r="J15" s="7">
        <v>15</v>
      </c>
      <c r="K15" s="7">
        <v>6</v>
      </c>
      <c r="L15" s="8">
        <v>30.973761998000001</v>
      </c>
      <c r="M15" s="7">
        <v>0</v>
      </c>
      <c r="N15" s="7">
        <v>1.823</v>
      </c>
      <c r="O15" s="7">
        <v>25</v>
      </c>
      <c r="P15" s="7">
        <v>5</v>
      </c>
      <c r="Q15" s="7">
        <v>2.19</v>
      </c>
      <c r="R15" s="7">
        <v>2.5499999999999998</v>
      </c>
      <c r="S15" s="7">
        <v>2.5499999999999998</v>
      </c>
      <c r="T15" s="7">
        <v>0</v>
      </c>
      <c r="U15" s="13">
        <v>12</v>
      </c>
      <c r="V15" s="13">
        <v>5.0999999999999996</v>
      </c>
      <c r="W15" s="13">
        <v>45.741999999999997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>
      <c r="A16" s="7" t="s">
        <v>39</v>
      </c>
      <c r="B16" s="7" t="s">
        <v>38</v>
      </c>
      <c r="C16" s="7">
        <v>1.679</v>
      </c>
      <c r="D16" s="7">
        <v>2.0569999999999999</v>
      </c>
      <c r="E16" s="8">
        <v>3.77299300799947</v>
      </c>
      <c r="F16" s="7">
        <f t="shared" si="0"/>
        <v>0.37799999999999989</v>
      </c>
      <c r="G16" s="8">
        <v>-0.4143</v>
      </c>
      <c r="H16" s="8">
        <v>-0.31519999999999998</v>
      </c>
      <c r="I16" s="9">
        <v>19.3</v>
      </c>
      <c r="J16" s="7">
        <v>15</v>
      </c>
      <c r="K16" s="7">
        <v>8</v>
      </c>
      <c r="L16" s="8">
        <v>30.973761998000001</v>
      </c>
      <c r="M16" s="7">
        <v>0</v>
      </c>
      <c r="N16" s="7">
        <v>1.823</v>
      </c>
      <c r="O16" s="7">
        <v>25</v>
      </c>
      <c r="P16" s="7">
        <v>5</v>
      </c>
      <c r="Q16" s="7">
        <v>2.19</v>
      </c>
      <c r="R16" s="7">
        <v>3.44</v>
      </c>
      <c r="S16" s="7">
        <v>2.5499999999999998</v>
      </c>
      <c r="T16" s="7">
        <v>2.5499999999999998</v>
      </c>
      <c r="U16" s="13">
        <v>20</v>
      </c>
      <c r="V16" s="13">
        <v>8.5399999999999991</v>
      </c>
      <c r="W16" s="13">
        <v>58.51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>
      <c r="A17" s="7" t="s">
        <v>40</v>
      </c>
      <c r="B17" s="7" t="s">
        <v>41</v>
      </c>
      <c r="C17" s="7">
        <v>1.8089999999999999</v>
      </c>
      <c r="D17" s="7">
        <v>2.016</v>
      </c>
      <c r="E17" s="8">
        <v>4.9142254379537196</v>
      </c>
      <c r="F17" s="7">
        <f t="shared" si="0"/>
        <v>0.20700000000000007</v>
      </c>
      <c r="G17" s="8">
        <v>-0.42649999999999999</v>
      </c>
      <c r="H17" s="8">
        <v>-0.36499999999999999</v>
      </c>
      <c r="I17" s="9">
        <v>17.600000000000001</v>
      </c>
      <c r="J17" s="7">
        <v>16</v>
      </c>
      <c r="K17" s="7">
        <v>8</v>
      </c>
      <c r="L17" s="8">
        <v>32.06</v>
      </c>
      <c r="M17" s="7">
        <v>0</v>
      </c>
      <c r="N17" s="7">
        <v>2.0699999999999998</v>
      </c>
      <c r="O17" s="7">
        <v>19.399999999999999</v>
      </c>
      <c r="P17" s="7">
        <v>6</v>
      </c>
      <c r="Q17" s="7">
        <v>2.58</v>
      </c>
      <c r="R17" s="7">
        <v>3.44</v>
      </c>
      <c r="S17" s="7">
        <v>3.44</v>
      </c>
      <c r="T17" s="7">
        <v>2.5499999999999998</v>
      </c>
      <c r="U17" s="13">
        <v>22</v>
      </c>
      <c r="V17" s="13">
        <v>9.43</v>
      </c>
      <c r="W17" s="13">
        <v>45.953000000000003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>
      <c r="A18" s="7" t="s">
        <v>42</v>
      </c>
      <c r="B18" s="7" t="s">
        <v>41</v>
      </c>
      <c r="C18" s="7">
        <v>8.7999999999999995E-2</v>
      </c>
      <c r="D18" s="7">
        <v>0.81200000000000006</v>
      </c>
      <c r="E18" s="8">
        <v>4.4055889869909004</v>
      </c>
      <c r="F18" s="7">
        <f t="shared" si="0"/>
        <v>0.72400000000000009</v>
      </c>
      <c r="G18" s="8">
        <v>-0.37659999999999999</v>
      </c>
      <c r="H18" s="8">
        <v>-0.37609999999999999</v>
      </c>
      <c r="I18" s="9">
        <v>14.5</v>
      </c>
      <c r="J18" s="7">
        <v>16</v>
      </c>
      <c r="K18" s="7">
        <v>6</v>
      </c>
      <c r="L18" s="8">
        <v>32.06</v>
      </c>
      <c r="M18" s="7">
        <v>0</v>
      </c>
      <c r="N18" s="7">
        <v>2.0699999999999998</v>
      </c>
      <c r="O18" s="7">
        <v>19.399999999999999</v>
      </c>
      <c r="P18" s="7">
        <v>6</v>
      </c>
      <c r="Q18" s="7">
        <v>2.58</v>
      </c>
      <c r="R18" s="7">
        <v>2.5499999999999998</v>
      </c>
      <c r="S18" s="7">
        <v>0</v>
      </c>
      <c r="T18" s="7">
        <v>0</v>
      </c>
      <c r="U18" s="13">
        <v>6</v>
      </c>
      <c r="V18" s="13">
        <v>2.5499999999999998</v>
      </c>
      <c r="W18" s="13">
        <v>25.701000000000001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>
      <c r="A19" s="7" t="s">
        <v>43</v>
      </c>
      <c r="B19" s="7" t="s">
        <v>41</v>
      </c>
      <c r="C19" s="7">
        <v>0.97199999999999998</v>
      </c>
      <c r="D19" s="7">
        <v>1.369</v>
      </c>
      <c r="E19" s="8">
        <v>3.9253326595876001</v>
      </c>
      <c r="F19" s="7">
        <f t="shared" si="0"/>
        <v>0.39700000000000002</v>
      </c>
      <c r="G19" s="8">
        <v>-0.40679999999999999</v>
      </c>
      <c r="H19" s="8">
        <v>-0.34760000000000002</v>
      </c>
      <c r="I19" s="9">
        <v>17.3</v>
      </c>
      <c r="J19" s="7">
        <v>16</v>
      </c>
      <c r="K19" s="7">
        <v>8</v>
      </c>
      <c r="L19" s="8">
        <v>32.06</v>
      </c>
      <c r="M19" s="7">
        <v>0</v>
      </c>
      <c r="N19" s="7">
        <v>2.0699999999999998</v>
      </c>
      <c r="O19" s="7">
        <v>19.399999999999999</v>
      </c>
      <c r="P19" s="7">
        <v>6</v>
      </c>
      <c r="Q19" s="7">
        <v>2.58</v>
      </c>
      <c r="R19" s="7">
        <v>3.44</v>
      </c>
      <c r="S19" s="7">
        <v>2.5499999999999998</v>
      </c>
      <c r="T19" s="7">
        <v>0</v>
      </c>
      <c r="U19" s="13">
        <v>14</v>
      </c>
      <c r="V19" s="13">
        <v>5.99</v>
      </c>
      <c r="W19" s="13">
        <v>35.963999999999999</v>
      </c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>
      <c r="A20" s="7" t="s">
        <v>44</v>
      </c>
      <c r="B20" s="7" t="s">
        <v>45</v>
      </c>
      <c r="C20" s="7">
        <v>1.282</v>
      </c>
      <c r="D20" s="7">
        <v>1.94</v>
      </c>
      <c r="E20" s="8">
        <v>2.2992108086393901</v>
      </c>
      <c r="F20" s="7">
        <f t="shared" si="0"/>
        <v>0.65799999999999992</v>
      </c>
      <c r="G20" s="8">
        <v>-0.38009999999999999</v>
      </c>
      <c r="H20" s="8">
        <v>-0.27560000000000001</v>
      </c>
      <c r="I20" s="9">
        <v>16.100000000000001</v>
      </c>
      <c r="J20" s="7">
        <v>14</v>
      </c>
      <c r="K20" s="7">
        <v>6</v>
      </c>
      <c r="L20" s="8">
        <v>28.085000000000001</v>
      </c>
      <c r="M20" s="7">
        <v>0</v>
      </c>
      <c r="N20" s="7">
        <v>2.3296000000000001</v>
      </c>
      <c r="O20" s="7">
        <v>37.299999999999997</v>
      </c>
      <c r="P20" s="7">
        <v>4</v>
      </c>
      <c r="Q20" s="7">
        <v>1.9</v>
      </c>
      <c r="R20" s="7">
        <v>2.5499999999999998</v>
      </c>
      <c r="S20" s="7">
        <v>2.5499999999999998</v>
      </c>
      <c r="T20" s="7">
        <v>2.5499999999999998</v>
      </c>
      <c r="U20">
        <v>18</v>
      </c>
      <c r="V20" s="2">
        <v>7.6499999999999995</v>
      </c>
      <c r="W20" s="2">
        <v>58.533000000000001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>
      <c r="A21" s="7" t="s">
        <v>46</v>
      </c>
      <c r="B21" s="7" t="s">
        <v>45</v>
      </c>
      <c r="C21" s="7">
        <v>1.292</v>
      </c>
      <c r="D21" s="7">
        <v>1.9730000000000001</v>
      </c>
      <c r="E21" s="8">
        <v>2.42207017763553</v>
      </c>
      <c r="F21" s="7">
        <f t="shared" si="0"/>
        <v>0.68100000000000005</v>
      </c>
      <c r="G21" s="8">
        <v>-0.3826</v>
      </c>
      <c r="H21" s="8">
        <v>-0.27589999999999998</v>
      </c>
      <c r="I21" s="9">
        <v>17.7</v>
      </c>
      <c r="J21" s="7">
        <v>14</v>
      </c>
      <c r="K21" s="7">
        <v>6</v>
      </c>
      <c r="L21" s="8">
        <v>28.085000000000001</v>
      </c>
      <c r="M21" s="7">
        <v>0</v>
      </c>
      <c r="N21" s="7">
        <v>2.3296000000000001</v>
      </c>
      <c r="O21" s="7">
        <v>37.299999999999997</v>
      </c>
      <c r="P21" s="7">
        <v>4</v>
      </c>
      <c r="Q21" s="7">
        <v>1.9</v>
      </c>
      <c r="R21" s="7">
        <v>2.5499999999999998</v>
      </c>
      <c r="S21" s="7">
        <v>2.5499999999999998</v>
      </c>
      <c r="T21" s="7">
        <v>2.5499999999999998</v>
      </c>
      <c r="U21">
        <v>18</v>
      </c>
      <c r="V21" s="2">
        <v>7.6499999999999995</v>
      </c>
      <c r="W21" s="2">
        <v>54.637999999999998</v>
      </c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>
      <c r="G22" s="2"/>
      <c r="H22" s="2"/>
      <c r="I22" s="2"/>
      <c r="J22" s="2"/>
      <c r="K22" s="2"/>
      <c r="L22" s="2"/>
      <c r="N22" s="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>
      <c r="G23" s="2"/>
      <c r="H23" s="2"/>
      <c r="I23" s="2"/>
      <c r="J23" s="2"/>
      <c r="K23" s="2"/>
      <c r="L23" s="2"/>
      <c r="N23" s="6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>
      <c r="G24" s="2"/>
      <c r="H24" s="2"/>
      <c r="I24" s="2"/>
      <c r="J24" s="2"/>
      <c r="K24" s="2"/>
      <c r="L24" s="2"/>
      <c r="N24" s="6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>
      <c r="G25" s="2"/>
      <c r="H25" s="2"/>
      <c r="I25" s="2"/>
      <c r="J25" s="2"/>
      <c r="K25" s="2"/>
      <c r="L25" s="2"/>
      <c r="N25" s="6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>
      <c r="G26" s="2"/>
      <c r="H26" s="2"/>
      <c r="I26" s="2"/>
      <c r="J26" s="2"/>
      <c r="K26" s="2"/>
      <c r="L26" s="2"/>
      <c r="N26" s="6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>
      <c r="G27" s="2"/>
      <c r="H27" s="2"/>
      <c r="I27" s="2"/>
      <c r="J27" s="2"/>
      <c r="K27" s="2"/>
      <c r="L27" s="2"/>
      <c r="N27" s="6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>
      <c r="G28" s="2"/>
      <c r="H28" s="2"/>
      <c r="I28" s="2"/>
      <c r="J28" s="2"/>
      <c r="K28" s="2"/>
      <c r="L28" s="2"/>
      <c r="N28" s="6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>
      <c r="G29" s="2"/>
      <c r="H29" s="2"/>
      <c r="I29" s="2"/>
      <c r="J29" s="2"/>
      <c r="K29" s="2"/>
      <c r="L29" s="2"/>
      <c r="N29" s="6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>
      <c r="G30" s="2"/>
      <c r="H30" s="2"/>
      <c r="I30" s="2"/>
      <c r="J30" s="2"/>
      <c r="K30" s="2"/>
      <c r="L30" s="2"/>
      <c r="N30" s="6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>
      <c r="G31" s="2"/>
      <c r="H31" s="2"/>
      <c r="I31" s="2"/>
      <c r="J31" s="2"/>
      <c r="K31" s="2"/>
      <c r="L31" s="2"/>
      <c r="N31" s="6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>
      <c r="G32" s="2"/>
      <c r="H32" s="2"/>
      <c r="I32" s="2"/>
      <c r="J32" s="2"/>
      <c r="K32" s="2"/>
      <c r="L32" s="2"/>
      <c r="N32" s="6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2:34">
      <c r="G33" s="2"/>
      <c r="H33" s="2"/>
      <c r="I33" s="2"/>
      <c r="J33" s="2"/>
      <c r="K33" s="2"/>
      <c r="L33" s="2"/>
      <c r="N33" s="6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2:34">
      <c r="G34" s="2"/>
      <c r="H34" s="2"/>
      <c r="I34" s="2"/>
      <c r="J34" s="2"/>
      <c r="K34" s="2"/>
      <c r="L34" s="2"/>
      <c r="N34" s="6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2:34">
      <c r="G35" s="2"/>
      <c r="H35" s="2"/>
      <c r="I35" s="2"/>
      <c r="J35" s="2"/>
      <c r="K35" s="2"/>
      <c r="L35" s="2"/>
      <c r="N35" s="6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2:34">
      <c r="G36" s="2"/>
      <c r="H36" s="2"/>
      <c r="I36" s="2"/>
      <c r="J36" s="2"/>
      <c r="K36" s="2"/>
      <c r="L36" s="2"/>
      <c r="N36" s="6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2:34">
      <c r="G37" s="2"/>
      <c r="H37" s="2"/>
      <c r="I37" s="2"/>
      <c r="J37" s="2"/>
      <c r="K37" s="2"/>
      <c r="L37" s="2"/>
      <c r="N37" s="6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2:34">
      <c r="B38" s="3"/>
      <c r="C38" s="3"/>
      <c r="D38" s="4"/>
      <c r="E38" s="4"/>
      <c r="F38" s="3"/>
      <c r="G38" s="5"/>
      <c r="H38" s="5"/>
      <c r="I38" s="5"/>
      <c r="J38" s="5"/>
      <c r="K38" s="5"/>
      <c r="L38" s="5"/>
      <c r="N38" s="6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2:34">
      <c r="G39" s="2"/>
      <c r="H39" s="2"/>
      <c r="I39" s="2"/>
      <c r="J39" s="2"/>
      <c r="K39" s="2"/>
      <c r="L39" s="2"/>
      <c r="N39" s="6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2:34">
      <c r="G40" s="2"/>
      <c r="H40" s="2"/>
      <c r="I40" s="2"/>
      <c r="J40" s="2"/>
      <c r="K40" s="2"/>
      <c r="L40" s="2"/>
      <c r="N40" s="6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2:34">
      <c r="G41" s="2"/>
      <c r="H41" s="2"/>
      <c r="I41" s="2"/>
      <c r="J41" s="2"/>
      <c r="K41" s="2"/>
      <c r="L41" s="2"/>
      <c r="N41" s="6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2:34">
      <c r="G42" s="2"/>
      <c r="H42" s="2"/>
      <c r="I42" s="2"/>
      <c r="J42" s="2"/>
      <c r="K42" s="2"/>
      <c r="L42" s="2"/>
      <c r="N42" s="6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2:34">
      <c r="G43" s="2"/>
      <c r="H43" s="2"/>
      <c r="I43" s="2"/>
      <c r="J43" s="2"/>
      <c r="K43" s="2"/>
      <c r="L43" s="2"/>
      <c r="N43" s="6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2:34">
      <c r="G44" s="2"/>
      <c r="H44" s="2"/>
      <c r="I44" s="2"/>
      <c r="J44" s="2"/>
      <c r="K44" s="2"/>
      <c r="L44" s="2"/>
      <c r="N44" s="6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2:34">
      <c r="G45" s="2"/>
      <c r="H45" s="2"/>
      <c r="I45" s="2"/>
      <c r="J45" s="2"/>
      <c r="K45" s="2"/>
      <c r="L45" s="2"/>
      <c r="N45" s="6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2:34">
      <c r="G46" s="2"/>
      <c r="H46" s="2"/>
      <c r="I46" s="2"/>
      <c r="J46" s="2"/>
      <c r="K46" s="2"/>
      <c r="L46" s="2"/>
      <c r="N46" s="6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2:34">
      <c r="G47" s="2"/>
      <c r="H47" s="2"/>
      <c r="I47" s="2"/>
      <c r="J47" s="2"/>
      <c r="K47" s="2"/>
      <c r="L47" s="2"/>
      <c r="N47" s="6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2:34">
      <c r="G48" s="2"/>
      <c r="H48" s="2"/>
      <c r="I48" s="2"/>
      <c r="J48" s="2"/>
      <c r="K48" s="2"/>
      <c r="L48" s="2"/>
      <c r="N48" s="6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7:34">
      <c r="G49" s="2"/>
      <c r="H49" s="2"/>
      <c r="I49" s="2"/>
      <c r="J49" s="2"/>
      <c r="K49" s="2"/>
      <c r="L49" s="2"/>
      <c r="N49" s="6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spans="7:34">
      <c r="G50" s="2"/>
      <c r="H50" s="2"/>
      <c r="I50" s="2"/>
      <c r="J50" s="2"/>
      <c r="K50" s="2"/>
      <c r="L50" s="2"/>
      <c r="N50" s="6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spans="7:34">
      <c r="G51" s="2"/>
      <c r="H51" s="2"/>
      <c r="I51" s="2"/>
      <c r="J51" s="2"/>
      <c r="K51" s="2"/>
      <c r="L51" s="2"/>
      <c r="N51" s="6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spans="7:34">
      <c r="G52" s="2"/>
      <c r="H52" s="2"/>
      <c r="I52" s="2"/>
      <c r="J52" s="2"/>
      <c r="K52" s="2"/>
      <c r="L52" s="2"/>
      <c r="N52" s="6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spans="7:34">
      <c r="G53" s="2"/>
      <c r="H53" s="2"/>
      <c r="I53" s="2"/>
      <c r="J53" s="2"/>
      <c r="K53" s="2"/>
      <c r="L53" s="2"/>
      <c r="N53" s="6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7:34">
      <c r="G54" s="2"/>
      <c r="H54" s="2"/>
      <c r="I54" s="2"/>
      <c r="J54" s="2"/>
      <c r="K54" s="2"/>
      <c r="L54" s="2"/>
      <c r="N54" s="6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spans="7:34">
      <c r="G55" s="2"/>
      <c r="H55" s="2"/>
      <c r="I55" s="2"/>
      <c r="J55" s="2"/>
      <c r="K55" s="2"/>
      <c r="L55" s="2"/>
      <c r="N55" s="6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7:34">
      <c r="G56" s="2"/>
      <c r="H56" s="2"/>
      <c r="I56" s="2"/>
      <c r="J56" s="2"/>
      <c r="K56" s="2"/>
      <c r="L56" s="2"/>
      <c r="N56" s="6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7:34">
      <c r="G57" s="2"/>
      <c r="H57" s="2"/>
      <c r="I57" s="2"/>
      <c r="J57" s="2"/>
      <c r="K57" s="2"/>
      <c r="L57" s="2"/>
      <c r="N57" s="6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spans="7:34">
      <c r="G58" s="2"/>
      <c r="H58" s="2"/>
      <c r="I58" s="2"/>
      <c r="J58" s="2"/>
      <c r="K58" s="2"/>
      <c r="L58" s="2"/>
      <c r="N58" s="6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7:34">
      <c r="G59" s="2"/>
      <c r="H59" s="2"/>
      <c r="I59" s="2"/>
      <c r="J59" s="2"/>
      <c r="K59" s="2"/>
      <c r="L59" s="2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spans="7:34">
      <c r="G60" s="2"/>
      <c r="H60" s="2"/>
      <c r="I60" s="2"/>
      <c r="J60" s="2"/>
      <c r="K60" s="2"/>
      <c r="L60" s="2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spans="7:34">
      <c r="G61" s="2"/>
      <c r="H61" s="2"/>
      <c r="I61" s="2"/>
      <c r="J61" s="2"/>
      <c r="K61" s="2"/>
      <c r="L61" s="2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spans="7:34">
      <c r="G62" s="2"/>
      <c r="H62" s="2"/>
      <c r="I62" s="2"/>
      <c r="J62" s="2"/>
      <c r="K62" s="2"/>
      <c r="L62" s="2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spans="7:34">
      <c r="G63" s="2"/>
      <c r="H63" s="2"/>
      <c r="I63" s="2"/>
      <c r="J63" s="2"/>
      <c r="K63" s="2"/>
      <c r="L63" s="2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spans="7:34">
      <c r="G64" s="2"/>
      <c r="H64" s="2"/>
      <c r="I64" s="2"/>
      <c r="J64" s="2"/>
      <c r="K64" s="2"/>
      <c r="L64" s="2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spans="7:34">
      <c r="G65" s="2"/>
      <c r="H65" s="2"/>
      <c r="I65" s="2"/>
      <c r="J65" s="2"/>
      <c r="K65" s="2"/>
      <c r="L65" s="2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spans="7:34">
      <c r="G66" s="2"/>
      <c r="H66" s="2"/>
      <c r="I66" s="2"/>
      <c r="J66" s="2"/>
      <c r="K66" s="2"/>
      <c r="L66" s="2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7:34">
      <c r="G67" s="2"/>
      <c r="H67" s="2"/>
      <c r="I67" s="2"/>
      <c r="J67" s="2"/>
      <c r="K67" s="2"/>
      <c r="L67" s="2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7:34">
      <c r="G68" s="2"/>
      <c r="H68" s="2"/>
      <c r="I68" s="2"/>
      <c r="J68" s="2"/>
      <c r="K68" s="2"/>
      <c r="L68" s="2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spans="7:34">
      <c r="G69" s="2"/>
      <c r="H69" s="2"/>
      <c r="I69" s="2"/>
      <c r="J69" s="2"/>
      <c r="K69" s="2"/>
      <c r="L69" s="2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7:34">
      <c r="G70" s="2"/>
      <c r="H70" s="2"/>
      <c r="I70" s="2"/>
      <c r="J70" s="2"/>
      <c r="K70" s="2"/>
      <c r="L70" s="2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7:34">
      <c r="G71" s="2"/>
      <c r="H71" s="2"/>
      <c r="I71" s="2"/>
      <c r="J71" s="2"/>
      <c r="K71" s="2"/>
      <c r="L71" s="2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7:34">
      <c r="G72" s="2"/>
      <c r="H72" s="2"/>
      <c r="I72" s="2"/>
      <c r="J72" s="2"/>
      <c r="K72" s="2"/>
      <c r="L72" s="2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7:34">
      <c r="G73" s="2"/>
      <c r="H73" s="2"/>
      <c r="I73" s="2"/>
      <c r="J73" s="2"/>
      <c r="K73" s="2"/>
      <c r="L73" s="2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7:34">
      <c r="G74" s="2"/>
      <c r="H74" s="2"/>
      <c r="I74" s="2"/>
      <c r="J74" s="2"/>
      <c r="K74" s="2"/>
      <c r="L74" s="2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7:34">
      <c r="G75" s="2"/>
      <c r="H75" s="2"/>
      <c r="I75" s="2"/>
      <c r="J75" s="2"/>
      <c r="K75" s="2"/>
      <c r="L75" s="2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7:34">
      <c r="G76" s="2"/>
      <c r="H76" s="2"/>
      <c r="I76" s="2"/>
      <c r="J76" s="2"/>
      <c r="K76" s="2"/>
      <c r="L76" s="2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7:34">
      <c r="G77" s="2"/>
      <c r="H77" s="2"/>
      <c r="I77" s="2"/>
      <c r="J77" s="2"/>
      <c r="K77" s="2"/>
      <c r="L77" s="2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7:34">
      <c r="G78" s="2"/>
      <c r="H78" s="2"/>
      <c r="I78" s="2"/>
      <c r="J78" s="2"/>
      <c r="K78" s="2"/>
      <c r="L78" s="2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7:34">
      <c r="G79" s="2"/>
      <c r="H79" s="2"/>
      <c r="I79" s="2"/>
      <c r="J79" s="2"/>
      <c r="K79" s="2"/>
      <c r="L79" s="2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7:34">
      <c r="G80" s="2"/>
      <c r="H80" s="2"/>
      <c r="I80" s="2"/>
      <c r="J80" s="2"/>
      <c r="K80" s="2"/>
      <c r="L80" s="2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7:34">
      <c r="G81" s="2"/>
      <c r="H81" s="2"/>
      <c r="I81" s="2"/>
      <c r="J81" s="2"/>
      <c r="K81" s="2"/>
      <c r="L81" s="2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7:34">
      <c r="G82" s="2"/>
      <c r="H82" s="2"/>
      <c r="I82" s="2"/>
      <c r="J82" s="2"/>
      <c r="K82" s="2"/>
      <c r="L82" s="2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7:34">
      <c r="G83" s="2"/>
      <c r="H83" s="2"/>
      <c r="I83" s="2"/>
      <c r="J83" s="2"/>
      <c r="K83" s="2"/>
      <c r="L83" s="2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7:34">
      <c r="G84" s="2"/>
      <c r="H84" s="2"/>
      <c r="I84" s="2"/>
      <c r="J84" s="2"/>
      <c r="K84" s="2"/>
      <c r="L84" s="2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7:34">
      <c r="G85" s="2"/>
      <c r="H85" s="2"/>
      <c r="I85" s="2"/>
      <c r="J85" s="2"/>
      <c r="K85" s="2"/>
      <c r="L85" s="2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7:34">
      <c r="G86" s="2"/>
      <c r="H86" s="2"/>
      <c r="I86" s="2"/>
      <c r="J86" s="2"/>
      <c r="K86" s="2"/>
      <c r="L86" s="2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7:34">
      <c r="G87" s="2"/>
      <c r="H87" s="2"/>
      <c r="I87" s="2"/>
      <c r="J87" s="2"/>
      <c r="K87" s="2"/>
      <c r="L87" s="2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7:34">
      <c r="G88" s="2"/>
      <c r="H88" s="2"/>
      <c r="I88" s="2"/>
      <c r="J88" s="2"/>
      <c r="K88" s="2"/>
      <c r="L88" s="2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7:34">
      <c r="G89" s="2"/>
      <c r="H89" s="2"/>
      <c r="I89" s="2"/>
      <c r="J89" s="2"/>
      <c r="K89" s="2"/>
      <c r="L89" s="2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7:34">
      <c r="G90" s="2"/>
      <c r="H90" s="2"/>
      <c r="I90" s="2"/>
      <c r="J90" s="2"/>
      <c r="K90" s="2"/>
      <c r="L90" s="2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7:34">
      <c r="G91" s="2"/>
      <c r="H91" s="2"/>
      <c r="I91" s="2"/>
      <c r="J91" s="2"/>
      <c r="K91" s="2"/>
      <c r="L91" s="2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7:34">
      <c r="G92" s="2"/>
      <c r="H92" s="2"/>
      <c r="I92" s="2"/>
      <c r="J92" s="2"/>
      <c r="K92" s="2"/>
      <c r="L92" s="2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7:34">
      <c r="G93" s="2"/>
      <c r="H93" s="2"/>
      <c r="I93" s="2"/>
      <c r="J93" s="2"/>
      <c r="K93" s="2"/>
      <c r="L93" s="2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7:34">
      <c r="G94" s="2"/>
      <c r="H94" s="2"/>
      <c r="I94" s="2"/>
      <c r="J94" s="2"/>
      <c r="K94" s="2"/>
      <c r="L94" s="2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7:34">
      <c r="G95" s="2"/>
      <c r="H95" s="2"/>
      <c r="I95" s="2"/>
      <c r="J95" s="2"/>
      <c r="K95" s="2"/>
      <c r="L95" s="2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7:34">
      <c r="G96" s="2"/>
      <c r="H96" s="2"/>
      <c r="I96" s="2"/>
      <c r="J96" s="2"/>
      <c r="K96" s="2"/>
      <c r="L96" s="2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2:40">
      <c r="B97" s="3"/>
      <c r="C97" s="3"/>
      <c r="D97" s="4"/>
      <c r="E97" s="4"/>
      <c r="F97" s="3"/>
      <c r="G97" s="5"/>
      <c r="H97" s="5"/>
      <c r="I97" s="5"/>
      <c r="J97" s="5"/>
      <c r="K97" s="5"/>
      <c r="L97" s="5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2:40">
      <c r="G98" s="2"/>
      <c r="H98" s="2"/>
      <c r="I98" s="2"/>
      <c r="J98" s="2"/>
      <c r="K98" s="2"/>
      <c r="L98" s="2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2:40">
      <c r="G99" s="2"/>
      <c r="H99" s="2"/>
      <c r="I99" s="2"/>
      <c r="J99" s="2"/>
      <c r="K99" s="2"/>
      <c r="L99" s="2"/>
      <c r="N99" s="6"/>
      <c r="O99" s="2"/>
      <c r="P99" s="2"/>
      <c r="Q99" s="2"/>
      <c r="R99" s="2"/>
      <c r="S99" s="2"/>
      <c r="T99" s="2"/>
      <c r="U99" s="2"/>
      <c r="V99" s="2"/>
      <c r="AI99"/>
      <c r="AJ99"/>
      <c r="AK99"/>
      <c r="AL99"/>
      <c r="AM99"/>
      <c r="AN99"/>
    </row>
    <row r="100" spans="2:40">
      <c r="G100" s="2"/>
      <c r="H100" s="2"/>
      <c r="I100" s="2"/>
      <c r="J100" s="2"/>
      <c r="K100" s="2"/>
      <c r="L100" s="2"/>
      <c r="N100" s="6"/>
      <c r="O100" s="2"/>
      <c r="P100" s="2"/>
      <c r="Q100" s="2"/>
      <c r="R100" s="2"/>
      <c r="S100" s="2"/>
      <c r="T100" s="2"/>
      <c r="U100" s="2"/>
      <c r="V100" s="2"/>
      <c r="AI100"/>
      <c r="AJ100"/>
      <c r="AK100"/>
      <c r="AL100"/>
      <c r="AM100"/>
      <c r="AN100"/>
    </row>
    <row r="101" spans="2:40">
      <c r="G101" s="2"/>
      <c r="H101" s="2"/>
      <c r="I101" s="2"/>
      <c r="J101" s="2"/>
      <c r="K101" s="2"/>
      <c r="L101" s="2"/>
      <c r="N101" s="6"/>
      <c r="O101" s="2"/>
      <c r="P101" s="2"/>
      <c r="Q101" s="2"/>
      <c r="R101" s="2"/>
      <c r="S101" s="2"/>
      <c r="T101" s="2"/>
      <c r="U101" s="2"/>
      <c r="V101" s="2"/>
      <c r="AI101"/>
      <c r="AJ101"/>
      <c r="AK101"/>
      <c r="AL101"/>
      <c r="AM101"/>
      <c r="AN101"/>
    </row>
    <row r="102" spans="2:40">
      <c r="G102" s="2"/>
      <c r="H102" s="2"/>
      <c r="I102" s="2"/>
      <c r="J102" s="2"/>
      <c r="K102" s="2"/>
      <c r="L102" s="2"/>
      <c r="N102" s="6"/>
      <c r="O102" s="2"/>
      <c r="P102" s="2"/>
      <c r="Q102" s="2"/>
      <c r="R102" s="2"/>
      <c r="S102" s="2"/>
      <c r="T102" s="2"/>
      <c r="U102" s="2"/>
      <c r="V102" s="2"/>
      <c r="AI102"/>
      <c r="AJ102"/>
      <c r="AK102"/>
      <c r="AL102"/>
      <c r="AM102"/>
      <c r="AN102"/>
    </row>
    <row r="103" spans="2:40">
      <c r="G103" s="2"/>
      <c r="H103" s="2"/>
      <c r="I103" s="2"/>
      <c r="J103" s="2"/>
      <c r="K103" s="2"/>
      <c r="L103" s="2"/>
      <c r="N103" s="6"/>
      <c r="O103" s="2"/>
      <c r="P103" s="2"/>
      <c r="Q103" s="2"/>
      <c r="R103" s="2"/>
      <c r="S103" s="2"/>
      <c r="T103" s="2"/>
      <c r="U103" s="2"/>
      <c r="V103" s="2"/>
      <c r="AI103"/>
      <c r="AJ103"/>
      <c r="AK103"/>
      <c r="AL103"/>
      <c r="AM103"/>
      <c r="AN103"/>
    </row>
    <row r="104" spans="2:40">
      <c r="G104" s="2"/>
      <c r="H104" s="2"/>
      <c r="I104" s="2"/>
      <c r="J104" s="2"/>
      <c r="K104" s="2"/>
      <c r="L104" s="2"/>
      <c r="N104" s="6"/>
      <c r="O104" s="2"/>
      <c r="P104" s="2"/>
      <c r="Q104" s="2"/>
      <c r="R104" s="2"/>
      <c r="S104" s="2"/>
      <c r="T104" s="2"/>
      <c r="U104" s="2"/>
      <c r="V104" s="2"/>
      <c r="AI104"/>
      <c r="AJ104"/>
      <c r="AK104"/>
      <c r="AL104"/>
      <c r="AM104"/>
      <c r="AN104"/>
    </row>
    <row r="105" spans="2:40">
      <c r="G105" s="2"/>
      <c r="H105" s="2"/>
      <c r="I105" s="2"/>
      <c r="J105" s="2"/>
      <c r="K105" s="2"/>
      <c r="L105" s="2"/>
      <c r="N105" s="6"/>
      <c r="O105" s="2"/>
      <c r="P105" s="2"/>
      <c r="Q105" s="2"/>
      <c r="R105" s="2"/>
      <c r="S105" s="2"/>
      <c r="T105" s="2"/>
      <c r="U105" s="2"/>
      <c r="V105" s="2"/>
      <c r="AI105"/>
      <c r="AJ105"/>
      <c r="AK105"/>
      <c r="AL105"/>
      <c r="AM105"/>
      <c r="AN105"/>
    </row>
    <row r="106" spans="2:40">
      <c r="G106" s="2"/>
      <c r="H106" s="2"/>
      <c r="I106" s="2"/>
      <c r="J106" s="2"/>
      <c r="K106" s="2"/>
      <c r="L106" s="2"/>
      <c r="N106" s="6"/>
      <c r="O106" s="2"/>
      <c r="P106" s="2"/>
      <c r="Q106" s="2"/>
      <c r="R106" s="2"/>
      <c r="S106" s="2"/>
      <c r="T106" s="2"/>
      <c r="U106" s="2"/>
      <c r="V106" s="2"/>
      <c r="AI106"/>
      <c r="AJ106"/>
      <c r="AK106"/>
      <c r="AL106"/>
      <c r="AM106"/>
      <c r="AN106"/>
    </row>
    <row r="107" spans="2:40">
      <c r="G107" s="2"/>
      <c r="H107" s="2"/>
      <c r="I107" s="2"/>
      <c r="J107" s="2"/>
      <c r="K107" s="2"/>
      <c r="L107" s="2"/>
      <c r="N107" s="6"/>
      <c r="O107" s="2"/>
      <c r="P107" s="2"/>
      <c r="Q107" s="2"/>
      <c r="R107" s="2"/>
      <c r="S107" s="2"/>
      <c r="T107" s="2"/>
      <c r="U107" s="2"/>
      <c r="V107" s="2"/>
      <c r="AI107"/>
      <c r="AJ107"/>
      <c r="AK107"/>
      <c r="AL107"/>
      <c r="AM107"/>
      <c r="AN107"/>
    </row>
    <row r="108" spans="2:40">
      <c r="G108" s="2"/>
      <c r="H108" s="2"/>
      <c r="I108" s="2"/>
      <c r="J108" s="2"/>
      <c r="K108" s="2"/>
      <c r="L108" s="2"/>
      <c r="N108" s="6"/>
      <c r="O108" s="2"/>
      <c r="P108" s="2"/>
      <c r="Q108" s="2"/>
      <c r="R108" s="2"/>
      <c r="S108" s="2"/>
      <c r="T108" s="2"/>
      <c r="U108" s="2"/>
      <c r="V108" s="2"/>
      <c r="AI108"/>
      <c r="AJ108"/>
      <c r="AK108"/>
      <c r="AL108"/>
      <c r="AM108"/>
      <c r="AN108"/>
    </row>
    <row r="109" spans="2:40">
      <c r="G109" s="2"/>
      <c r="H109" s="2"/>
      <c r="I109" s="2"/>
      <c r="J109" s="2"/>
      <c r="K109" s="2"/>
      <c r="L109" s="2"/>
      <c r="N109" s="6"/>
      <c r="O109" s="2"/>
      <c r="P109" s="2"/>
      <c r="Q109" s="2"/>
      <c r="R109" s="2"/>
      <c r="S109" s="2"/>
      <c r="T109" s="2"/>
      <c r="U109" s="2"/>
      <c r="V109" s="2"/>
      <c r="AI109"/>
      <c r="AJ109"/>
      <c r="AK109"/>
      <c r="AL109"/>
      <c r="AM109"/>
      <c r="AN109"/>
    </row>
    <row r="110" spans="2:40">
      <c r="G110" s="2"/>
      <c r="H110" s="2"/>
      <c r="I110" s="2"/>
      <c r="J110" s="2"/>
      <c r="K110" s="2"/>
      <c r="L110" s="2"/>
      <c r="N110" s="6"/>
      <c r="O110" s="2"/>
      <c r="P110" s="2"/>
      <c r="Q110" s="2"/>
      <c r="R110" s="2"/>
      <c r="S110" s="2"/>
      <c r="T110" s="2"/>
      <c r="U110" s="2"/>
      <c r="V110" s="2"/>
      <c r="AI110"/>
      <c r="AJ110"/>
      <c r="AK110"/>
      <c r="AL110"/>
      <c r="AM110"/>
      <c r="AN110"/>
    </row>
    <row r="111" spans="2:40">
      <c r="G111" s="2"/>
      <c r="H111" s="2"/>
      <c r="I111" s="2"/>
      <c r="J111" s="2"/>
      <c r="K111" s="2"/>
      <c r="L111" s="2"/>
      <c r="N111" s="6"/>
      <c r="O111" s="2"/>
      <c r="P111" s="2"/>
      <c r="Q111" s="2"/>
      <c r="R111" s="2"/>
      <c r="S111" s="2"/>
      <c r="T111" s="2"/>
      <c r="U111" s="2"/>
      <c r="V111" s="2"/>
      <c r="AI111"/>
      <c r="AJ111"/>
      <c r="AK111"/>
      <c r="AL111"/>
      <c r="AM111"/>
      <c r="AN111"/>
    </row>
    <row r="112" spans="2:40">
      <c r="G112" s="2"/>
      <c r="H112" s="2"/>
      <c r="I112" s="2"/>
      <c r="J112" s="2"/>
      <c r="K112" s="2"/>
      <c r="L112" s="2"/>
      <c r="N112" s="6"/>
      <c r="O112" s="2"/>
      <c r="P112" s="2"/>
      <c r="Q112" s="2"/>
      <c r="R112" s="2"/>
      <c r="S112" s="2"/>
      <c r="T112" s="2"/>
      <c r="U112" s="2"/>
      <c r="V112" s="2"/>
      <c r="AI112"/>
      <c r="AJ112"/>
      <c r="AK112"/>
      <c r="AL112"/>
      <c r="AM112"/>
      <c r="AN112"/>
    </row>
    <row r="113" spans="7:40">
      <c r="G113" s="2"/>
      <c r="H113" s="2"/>
      <c r="I113" s="2"/>
      <c r="J113" s="2"/>
      <c r="K113" s="2"/>
      <c r="L113" s="2"/>
      <c r="N113" s="6"/>
      <c r="O113" s="2"/>
      <c r="P113" s="2"/>
      <c r="Q113" s="2"/>
      <c r="R113" s="2"/>
      <c r="S113" s="2"/>
      <c r="T113" s="2"/>
      <c r="U113" s="2"/>
      <c r="V113" s="2"/>
      <c r="AI113"/>
      <c r="AJ113"/>
      <c r="AK113"/>
      <c r="AL113"/>
      <c r="AM113"/>
      <c r="AN113"/>
    </row>
    <row r="114" spans="7:40">
      <c r="G114" s="2"/>
      <c r="H114" s="2"/>
      <c r="I114" s="2"/>
      <c r="J114" s="2"/>
      <c r="K114" s="2"/>
      <c r="L114" s="2"/>
      <c r="N114" s="6"/>
      <c r="O114" s="2"/>
      <c r="P114" s="2"/>
      <c r="Q114" s="2"/>
      <c r="R114" s="2"/>
      <c r="S114" s="2"/>
      <c r="T114" s="2"/>
      <c r="U114" s="2"/>
      <c r="V114" s="2"/>
      <c r="AI114"/>
      <c r="AJ114"/>
      <c r="AK114"/>
      <c r="AL114"/>
      <c r="AM114"/>
      <c r="AN114"/>
    </row>
    <row r="115" spans="7:40">
      <c r="G115" s="2"/>
      <c r="H115" s="2"/>
      <c r="I115" s="2"/>
      <c r="J115" s="2"/>
      <c r="K115" s="2"/>
      <c r="L115" s="2"/>
      <c r="N115" s="6"/>
      <c r="O115" s="2"/>
      <c r="P115" s="2"/>
      <c r="Q115" s="2"/>
      <c r="R115" s="2"/>
      <c r="S115" s="2"/>
      <c r="T115" s="2"/>
      <c r="U115" s="2"/>
      <c r="V115" s="2"/>
      <c r="AI115"/>
      <c r="AJ115"/>
      <c r="AK115"/>
      <c r="AL115"/>
      <c r="AM115"/>
      <c r="AN115"/>
    </row>
    <row r="116" spans="7:40">
      <c r="G116" s="2"/>
      <c r="H116" s="2"/>
      <c r="I116" s="2"/>
      <c r="J116" s="2"/>
      <c r="K116" s="2"/>
      <c r="L116" s="2"/>
      <c r="N116" s="6"/>
      <c r="O116" s="2"/>
      <c r="P116" s="2"/>
      <c r="Q116" s="2"/>
      <c r="R116" s="2"/>
      <c r="S116" s="2"/>
      <c r="T116" s="2"/>
      <c r="U116" s="2"/>
      <c r="V116" s="2"/>
      <c r="AI116"/>
      <c r="AJ116"/>
      <c r="AK116"/>
      <c r="AL116"/>
      <c r="AM116"/>
      <c r="AN116"/>
    </row>
    <row r="117" spans="7:40">
      <c r="G117" s="2"/>
      <c r="H117" s="2"/>
      <c r="I117" s="2"/>
      <c r="J117" s="2"/>
      <c r="K117" s="2"/>
      <c r="L117" s="2"/>
      <c r="N117" s="6"/>
      <c r="O117" s="2"/>
      <c r="P117" s="2"/>
      <c r="Q117" s="2"/>
      <c r="R117" s="2"/>
      <c r="S117" s="2"/>
      <c r="T117" s="2"/>
      <c r="U117" s="2"/>
      <c r="V117" s="2"/>
      <c r="AI117"/>
      <c r="AJ117"/>
      <c r="AK117"/>
      <c r="AL117"/>
      <c r="AM117"/>
      <c r="AN117"/>
    </row>
    <row r="118" spans="7:40">
      <c r="G118" s="2"/>
      <c r="H118" s="2"/>
      <c r="I118" s="2"/>
      <c r="J118" s="2"/>
      <c r="K118" s="2"/>
      <c r="L118" s="2"/>
      <c r="N118" s="6"/>
      <c r="O118" s="2"/>
      <c r="P118" s="2"/>
      <c r="Q118" s="2"/>
      <c r="R118" s="2"/>
      <c r="S118" s="2"/>
      <c r="T118" s="2"/>
      <c r="U118" s="2"/>
      <c r="V118" s="2"/>
      <c r="AI118"/>
      <c r="AJ118"/>
      <c r="AK118"/>
      <c r="AL118"/>
      <c r="AM118"/>
      <c r="AN118"/>
    </row>
    <row r="119" spans="7:40">
      <c r="G119" s="2"/>
      <c r="H119" s="2"/>
      <c r="I119" s="2"/>
      <c r="J119" s="2"/>
      <c r="K119" s="2"/>
      <c r="L119" s="2"/>
      <c r="N119" s="6"/>
      <c r="O119" s="2"/>
      <c r="P119" s="2"/>
      <c r="Q119" s="2"/>
      <c r="R119" s="2"/>
      <c r="S119" s="2"/>
      <c r="T119" s="2"/>
      <c r="U119" s="2"/>
      <c r="V119" s="2"/>
      <c r="AI119"/>
      <c r="AJ119"/>
      <c r="AK119"/>
      <c r="AL119"/>
      <c r="AM119"/>
      <c r="AN119"/>
    </row>
    <row r="120" spans="7:40">
      <c r="AI120"/>
      <c r="AJ120"/>
      <c r="AK120"/>
      <c r="AL120"/>
      <c r="AM120"/>
      <c r="AN120"/>
    </row>
    <row r="121" spans="7:40">
      <c r="AI121"/>
      <c r="AJ121"/>
      <c r="AK121"/>
      <c r="AL121"/>
      <c r="AM121"/>
      <c r="AN121"/>
    </row>
    <row r="122" spans="7:40">
      <c r="AI122"/>
      <c r="AJ122"/>
      <c r="AK122"/>
      <c r="AL122"/>
      <c r="AM122"/>
      <c r="AN122"/>
    </row>
    <row r="123" spans="7:40">
      <c r="AI123"/>
      <c r="AJ123"/>
      <c r="AK123"/>
      <c r="AL123"/>
      <c r="AM123"/>
      <c r="AN123"/>
    </row>
    <row r="124" spans="7:40">
      <c r="AI124"/>
      <c r="AJ124"/>
      <c r="AK124"/>
      <c r="AL124"/>
      <c r="AM124"/>
      <c r="AN124"/>
    </row>
    <row r="125" spans="7:40">
      <c r="AI125"/>
      <c r="AJ125"/>
      <c r="AK125"/>
      <c r="AL125"/>
      <c r="AM125"/>
      <c r="AN125"/>
    </row>
    <row r="126" spans="7:40">
      <c r="AI126"/>
      <c r="AJ126"/>
      <c r="AK126"/>
      <c r="AL126"/>
      <c r="AM126"/>
      <c r="AN126"/>
    </row>
    <row r="127" spans="7:40">
      <c r="AI127"/>
      <c r="AJ127"/>
      <c r="AK127"/>
      <c r="AL127"/>
      <c r="AM127"/>
      <c r="AN127"/>
    </row>
    <row r="128" spans="7:40">
      <c r="AI128"/>
      <c r="AJ128"/>
      <c r="AK128"/>
      <c r="AL128"/>
      <c r="AM128"/>
      <c r="AN128"/>
    </row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27"/>
  <sheetViews>
    <sheetView zoomScale="115" zoomScaleNormal="115" workbookViewId="0">
      <selection activeCell="G30" sqref="G30"/>
    </sheetView>
  </sheetViews>
  <sheetFormatPr defaultColWidth="9" defaultRowHeight="14.25"/>
  <cols>
    <col min="2" max="2" width="10.25" customWidth="1"/>
    <col min="3" max="5" width="9" customWidth="1"/>
    <col min="6" max="6" width="9" style="15" customWidth="1"/>
    <col min="7" max="9" width="9" customWidth="1"/>
  </cols>
  <sheetData>
    <row r="1" spans="1:24">
      <c r="A1" s="7" t="s">
        <v>0</v>
      </c>
      <c r="B1" s="7" t="s">
        <v>2</v>
      </c>
      <c r="C1" s="7" t="s">
        <v>14</v>
      </c>
      <c r="D1" s="7" t="s">
        <v>1</v>
      </c>
      <c r="E1" s="7" t="s">
        <v>16</v>
      </c>
      <c r="F1" s="14" t="s">
        <v>99</v>
      </c>
      <c r="G1" s="8" t="s">
        <v>10</v>
      </c>
      <c r="H1" s="8" t="s">
        <v>11</v>
      </c>
      <c r="I1" s="9" t="s">
        <v>12</v>
      </c>
      <c r="J1" s="7" t="s">
        <v>3</v>
      </c>
      <c r="K1" s="7" t="s">
        <v>17</v>
      </c>
      <c r="L1" s="11" t="s">
        <v>95</v>
      </c>
      <c r="M1" s="8" t="s">
        <v>4</v>
      </c>
      <c r="N1" s="7" t="s">
        <v>9</v>
      </c>
      <c r="O1" s="7" t="s">
        <v>8</v>
      </c>
      <c r="P1" s="7" t="s">
        <v>5</v>
      </c>
      <c r="Q1" s="7" t="s">
        <v>6</v>
      </c>
      <c r="R1" s="7" t="s">
        <v>7</v>
      </c>
      <c r="S1" s="7" t="s">
        <v>18</v>
      </c>
      <c r="T1" s="7" t="s">
        <v>19</v>
      </c>
      <c r="U1" s="7" t="s">
        <v>20</v>
      </c>
      <c r="V1" s="11" t="s">
        <v>94</v>
      </c>
      <c r="W1" s="12" t="s">
        <v>65</v>
      </c>
      <c r="X1" s="11" t="s">
        <v>93</v>
      </c>
    </row>
    <row r="2" spans="1:24">
      <c r="A2" s="7" t="s">
        <v>47</v>
      </c>
      <c r="B2" s="7" t="s">
        <v>22</v>
      </c>
      <c r="C2" s="7">
        <v>-1.7000000000000001E-2</v>
      </c>
      <c r="D2" s="7">
        <v>0.44800000000000001</v>
      </c>
      <c r="E2" s="7">
        <f>-(C2-D2)</f>
        <v>0.46500000000000002</v>
      </c>
      <c r="F2" s="8">
        <v>0.441</v>
      </c>
      <c r="G2" s="7">
        <v>-0.37930000000000003</v>
      </c>
      <c r="H2" s="7">
        <v>-0.27579999999999999</v>
      </c>
      <c r="I2" s="7">
        <v>19.7</v>
      </c>
      <c r="J2" s="7">
        <v>5</v>
      </c>
      <c r="K2" s="7">
        <v>1</v>
      </c>
      <c r="L2" s="7">
        <v>8</v>
      </c>
      <c r="M2" s="7">
        <v>10.81</v>
      </c>
      <c r="N2" s="7">
        <v>0</v>
      </c>
      <c r="O2" s="7">
        <v>2.34</v>
      </c>
      <c r="P2" s="7">
        <v>20.5</v>
      </c>
      <c r="Q2" s="7">
        <v>3</v>
      </c>
      <c r="R2" s="7">
        <v>2.04</v>
      </c>
      <c r="S2" s="7">
        <v>2.2000000000000002</v>
      </c>
      <c r="T2" s="7">
        <v>2.2000000000000002</v>
      </c>
      <c r="U2" s="7">
        <v>2.5499999999999998</v>
      </c>
      <c r="V2" s="7">
        <v>6.95</v>
      </c>
      <c r="W2">
        <v>0.50498399999999999</v>
      </c>
      <c r="X2">
        <v>40.857999999999997</v>
      </c>
    </row>
    <row r="3" spans="1:24">
      <c r="A3" s="7" t="s">
        <v>48</v>
      </c>
      <c r="B3" s="7" t="s">
        <v>22</v>
      </c>
      <c r="C3" s="7">
        <v>-9.1999999999999998E-2</v>
      </c>
      <c r="D3" s="7">
        <v>0.38900000000000001</v>
      </c>
      <c r="E3" s="7">
        <f t="shared" ref="E3:E27" si="0">-(C3-D3)</f>
        <v>0.48099999999999998</v>
      </c>
      <c r="F3" s="8">
        <v>0.46</v>
      </c>
      <c r="G3" s="7">
        <v>-0.35770000000000002</v>
      </c>
      <c r="H3" s="7">
        <v>-0.25569999999999998</v>
      </c>
      <c r="I3" s="7">
        <v>18.2</v>
      </c>
      <c r="J3" s="7">
        <v>5</v>
      </c>
      <c r="K3" s="7">
        <v>1</v>
      </c>
      <c r="L3" s="7">
        <v>8</v>
      </c>
      <c r="M3" s="7">
        <v>10.81</v>
      </c>
      <c r="N3" s="7">
        <v>0</v>
      </c>
      <c r="O3" s="7">
        <v>2.34</v>
      </c>
      <c r="P3" s="7">
        <v>20.5</v>
      </c>
      <c r="Q3" s="7">
        <v>3</v>
      </c>
      <c r="R3" s="7">
        <v>2.04</v>
      </c>
      <c r="S3" s="7">
        <v>2.2000000000000002</v>
      </c>
      <c r="T3" s="7">
        <v>2.2000000000000002</v>
      </c>
      <c r="U3" s="7">
        <v>2.5499999999999998</v>
      </c>
      <c r="V3" s="7">
        <v>6.95</v>
      </c>
      <c r="W3">
        <v>0.62196899999999999</v>
      </c>
      <c r="X3">
        <v>39.76</v>
      </c>
    </row>
    <row r="4" spans="1:24">
      <c r="A4" s="7" t="s">
        <v>49</v>
      </c>
      <c r="B4" s="7" t="s">
        <v>13</v>
      </c>
      <c r="C4" s="7">
        <v>-0.104</v>
      </c>
      <c r="D4" s="7">
        <v>0.159</v>
      </c>
      <c r="E4" s="7">
        <f t="shared" si="0"/>
        <v>0.26300000000000001</v>
      </c>
      <c r="F4" s="8">
        <v>0.24299999999999999</v>
      </c>
      <c r="G4" s="7">
        <v>-0.37540000000000001</v>
      </c>
      <c r="H4" s="7">
        <v>-0.25390000000000001</v>
      </c>
      <c r="I4" s="7">
        <v>19.899999999999999</v>
      </c>
      <c r="J4" s="7">
        <v>6</v>
      </c>
      <c r="K4" s="7">
        <v>6</v>
      </c>
      <c r="L4" s="7">
        <v>18</v>
      </c>
      <c r="M4" s="7">
        <v>12.010999999999999</v>
      </c>
      <c r="N4" s="7">
        <v>0</v>
      </c>
      <c r="O4" s="7">
        <v>2.2000000000000002</v>
      </c>
      <c r="P4" s="7">
        <v>11.3</v>
      </c>
      <c r="Q4" s="7">
        <v>4</v>
      </c>
      <c r="R4" s="7">
        <v>2.5499999999999998</v>
      </c>
      <c r="S4" s="7">
        <v>2.5499999999999998</v>
      </c>
      <c r="T4" s="7">
        <v>2.5499999999999998</v>
      </c>
      <c r="U4" s="7">
        <v>2.5499999999999998</v>
      </c>
      <c r="V4" s="7">
        <v>7.65</v>
      </c>
      <c r="W4">
        <v>0.57704500000000003</v>
      </c>
      <c r="X4">
        <v>61.511000000000003</v>
      </c>
    </row>
    <row r="5" spans="1:24">
      <c r="A5" s="7" t="s">
        <v>50</v>
      </c>
      <c r="B5" s="7" t="s">
        <v>51</v>
      </c>
      <c r="C5" s="7">
        <v>0.27500000000000002</v>
      </c>
      <c r="D5" s="7">
        <v>0.55100000000000005</v>
      </c>
      <c r="E5" s="7">
        <f t="shared" si="0"/>
        <v>0.27600000000000002</v>
      </c>
      <c r="F5" s="8">
        <v>0.27400000000000002</v>
      </c>
      <c r="G5" s="7">
        <v>-0.39450000000000002</v>
      </c>
      <c r="H5" s="7">
        <v>-0.38169999999999998</v>
      </c>
      <c r="I5" s="7">
        <v>17.100000000000001</v>
      </c>
      <c r="J5" s="7">
        <v>27</v>
      </c>
      <c r="K5" s="7">
        <v>6</v>
      </c>
      <c r="L5" s="7">
        <v>24</v>
      </c>
      <c r="M5" s="7">
        <v>58.933194</v>
      </c>
      <c r="N5" s="7">
        <v>0</v>
      </c>
      <c r="O5" s="7">
        <v>8.86</v>
      </c>
      <c r="P5" s="7">
        <v>55</v>
      </c>
      <c r="Q5" s="7">
        <v>9</v>
      </c>
      <c r="R5" s="7">
        <v>1.88</v>
      </c>
      <c r="S5" s="7">
        <v>2.5499999999999998</v>
      </c>
      <c r="T5" s="7">
        <v>2.5499999999999998</v>
      </c>
      <c r="U5" s="7">
        <v>2.5499999999999998</v>
      </c>
      <c r="V5" s="7">
        <v>10.199999999999999</v>
      </c>
      <c r="W5">
        <v>1.3076509999999999</v>
      </c>
      <c r="X5">
        <v>62.472999999999999</v>
      </c>
    </row>
    <row r="6" spans="1:24">
      <c r="A6" s="7" t="s">
        <v>52</v>
      </c>
      <c r="B6" s="7" t="s">
        <v>51</v>
      </c>
      <c r="C6" s="7">
        <v>1.329</v>
      </c>
      <c r="D6" s="7">
        <v>1.8</v>
      </c>
      <c r="E6" s="7">
        <f t="shared" si="0"/>
        <v>0.47100000000000009</v>
      </c>
      <c r="F6" s="8">
        <v>0.2</v>
      </c>
      <c r="G6" s="7">
        <v>-0.33879999999999999</v>
      </c>
      <c r="H6" s="7">
        <v>-0.33689999999999998</v>
      </c>
      <c r="I6" s="7">
        <v>21.8</v>
      </c>
      <c r="J6" s="7">
        <v>27</v>
      </c>
      <c r="K6" s="7">
        <v>7</v>
      </c>
      <c r="L6" s="7">
        <v>28</v>
      </c>
      <c r="M6" s="7">
        <v>58.933194</v>
      </c>
      <c r="N6" s="7">
        <v>0</v>
      </c>
      <c r="O6" s="7">
        <v>8.86</v>
      </c>
      <c r="P6" s="7">
        <v>55</v>
      </c>
      <c r="Q6" s="7">
        <v>9</v>
      </c>
      <c r="R6" s="7">
        <v>1.88</v>
      </c>
      <c r="S6" s="7">
        <v>3.04</v>
      </c>
      <c r="T6" s="7">
        <v>3.04</v>
      </c>
      <c r="U6" s="7">
        <v>3.04</v>
      </c>
      <c r="V6" s="7">
        <v>12.16</v>
      </c>
      <c r="W6">
        <v>1.0240100000000001</v>
      </c>
      <c r="X6">
        <v>65.879000000000005</v>
      </c>
    </row>
    <row r="7" spans="1:24">
      <c r="A7" s="7" t="s">
        <v>53</v>
      </c>
      <c r="B7" s="7" t="s">
        <v>54</v>
      </c>
      <c r="C7" s="7">
        <v>-0.65500000000000003</v>
      </c>
      <c r="D7" s="7">
        <v>-0.35799999999999998</v>
      </c>
      <c r="E7" s="7">
        <f t="shared" si="0"/>
        <v>0.29700000000000004</v>
      </c>
      <c r="F7" s="8">
        <v>0.247</v>
      </c>
      <c r="G7" s="7">
        <v>-0.40539999999999998</v>
      </c>
      <c r="H7" s="7">
        <v>-0.3856</v>
      </c>
      <c r="I7" s="7">
        <v>18.899999999999999</v>
      </c>
      <c r="J7" s="7">
        <v>25</v>
      </c>
      <c r="K7" s="7">
        <v>6</v>
      </c>
      <c r="L7" s="7">
        <v>30</v>
      </c>
      <c r="M7" s="7">
        <v>54.938043999999998</v>
      </c>
      <c r="N7" s="7">
        <v>0</v>
      </c>
      <c r="O7" s="7">
        <v>7.3</v>
      </c>
      <c r="P7" s="7">
        <v>68</v>
      </c>
      <c r="Q7" s="7">
        <v>7</v>
      </c>
      <c r="R7" s="7">
        <v>1.55</v>
      </c>
      <c r="S7" s="7">
        <v>2.5499999999999998</v>
      </c>
      <c r="T7" s="7">
        <v>2.5499999999999998</v>
      </c>
      <c r="U7" s="7">
        <v>2.5499999999999998</v>
      </c>
      <c r="V7" s="7">
        <v>12.75</v>
      </c>
      <c r="W7">
        <v>0.98554399999999998</v>
      </c>
      <c r="X7">
        <v>70.734999999999999</v>
      </c>
    </row>
    <row r="8" spans="1:24">
      <c r="A8" s="7" t="s">
        <v>55</v>
      </c>
      <c r="B8" s="7" t="s">
        <v>29</v>
      </c>
      <c r="C8" s="7">
        <v>-0.66</v>
      </c>
      <c r="D8" s="7">
        <v>-0.61099999999999999</v>
      </c>
      <c r="E8" s="7">
        <f t="shared" si="0"/>
        <v>4.9000000000000044E-2</v>
      </c>
      <c r="F8" s="8">
        <v>0.05</v>
      </c>
      <c r="G8" s="7">
        <v>-0.38479999999999998</v>
      </c>
      <c r="H8" s="7">
        <v>-0.3422</v>
      </c>
      <c r="I8" s="7">
        <v>18.899999999999999</v>
      </c>
      <c r="J8" s="7">
        <v>7</v>
      </c>
      <c r="K8" s="7">
        <v>6</v>
      </c>
      <c r="L8" s="7">
        <v>12</v>
      </c>
      <c r="M8" s="7">
        <v>14.007</v>
      </c>
      <c r="N8" s="7">
        <v>0</v>
      </c>
      <c r="O8" s="7">
        <v>1.145E-3</v>
      </c>
      <c r="P8" s="7">
        <v>7.4</v>
      </c>
      <c r="Q8" s="7">
        <v>5</v>
      </c>
      <c r="R8" s="7">
        <v>3.04</v>
      </c>
      <c r="S8" s="7">
        <v>2.5499999999999998</v>
      </c>
      <c r="T8" s="7">
        <v>2.5499999999999998</v>
      </c>
      <c r="U8" s="7">
        <v>0</v>
      </c>
      <c r="V8" s="7">
        <v>5.0999999999999996</v>
      </c>
      <c r="W8">
        <v>6.2599999999999999E-3</v>
      </c>
      <c r="X8">
        <v>54.887999999999998</v>
      </c>
    </row>
    <row r="9" spans="1:24">
      <c r="A9" s="7" t="s">
        <v>56</v>
      </c>
      <c r="B9" s="7" t="s">
        <v>29</v>
      </c>
      <c r="C9" s="7">
        <v>0</v>
      </c>
      <c r="D9" s="7">
        <v>0.11899999999999999</v>
      </c>
      <c r="E9" s="7">
        <f t="shared" si="0"/>
        <v>0.11899999999999999</v>
      </c>
      <c r="F9" s="8">
        <v>5.0999999999999997E-2</v>
      </c>
      <c r="G9" s="7">
        <v>-0.3105</v>
      </c>
      <c r="H9" s="7">
        <v>-0.28029999999999999</v>
      </c>
      <c r="I9" s="7">
        <v>19.899999999999999</v>
      </c>
      <c r="J9" s="7">
        <v>7</v>
      </c>
      <c r="K9" s="7">
        <v>6</v>
      </c>
      <c r="L9" s="7">
        <v>18</v>
      </c>
      <c r="M9" s="7">
        <v>14.007</v>
      </c>
      <c r="N9" s="7">
        <v>1</v>
      </c>
      <c r="O9" s="7">
        <v>1.145E-3</v>
      </c>
      <c r="P9" s="7">
        <v>7.4</v>
      </c>
      <c r="Q9" s="7">
        <v>5</v>
      </c>
      <c r="R9" s="7">
        <v>3.04</v>
      </c>
      <c r="S9" s="7">
        <v>2.5499999999999998</v>
      </c>
      <c r="T9" s="7">
        <v>2.5499999999999998</v>
      </c>
      <c r="U9" s="7">
        <v>2.5499999999999998</v>
      </c>
      <c r="V9" s="7">
        <v>7.65</v>
      </c>
      <c r="W9">
        <v>0.62933099999999997</v>
      </c>
      <c r="X9">
        <v>75.844999999999999</v>
      </c>
    </row>
    <row r="10" spans="1:24">
      <c r="A10" s="7" t="s">
        <v>57</v>
      </c>
      <c r="B10" s="7" t="s">
        <v>58</v>
      </c>
      <c r="C10" s="7">
        <v>-0.46300000000000002</v>
      </c>
      <c r="D10" s="7">
        <v>-0.221</v>
      </c>
      <c r="E10" s="7">
        <f t="shared" si="0"/>
        <v>0.24200000000000002</v>
      </c>
      <c r="F10" s="8">
        <v>0.186</v>
      </c>
      <c r="G10" s="7">
        <v>-0.40439999999999998</v>
      </c>
      <c r="H10" s="7">
        <v>-0.37409999999999999</v>
      </c>
      <c r="I10" s="7">
        <v>21.4</v>
      </c>
      <c r="J10" s="7">
        <v>75</v>
      </c>
      <c r="K10" s="7">
        <v>30</v>
      </c>
      <c r="L10" s="7">
        <v>30</v>
      </c>
      <c r="M10" s="7">
        <v>186.20699999999999</v>
      </c>
      <c r="N10" s="7">
        <v>0</v>
      </c>
      <c r="O10" s="7">
        <v>20.8</v>
      </c>
      <c r="P10" s="7">
        <v>62</v>
      </c>
      <c r="Q10" s="7">
        <v>7</v>
      </c>
      <c r="R10" s="7">
        <v>1.9</v>
      </c>
      <c r="S10" s="7">
        <v>2.5499999999999998</v>
      </c>
      <c r="T10" s="7">
        <v>2.5499999999999998</v>
      </c>
      <c r="U10" s="7">
        <v>2.5499999999999998</v>
      </c>
      <c r="V10" s="7">
        <v>12.75</v>
      </c>
      <c r="W10">
        <v>0.60934699999999997</v>
      </c>
      <c r="X10">
        <v>71.099000000000004</v>
      </c>
    </row>
    <row r="11" spans="1:24">
      <c r="A11" s="7" t="s">
        <v>59</v>
      </c>
      <c r="B11" s="7" t="s">
        <v>60</v>
      </c>
      <c r="C11" s="7">
        <v>1.494</v>
      </c>
      <c r="D11" s="7">
        <v>2.0089999999999999</v>
      </c>
      <c r="E11" s="7">
        <f t="shared" si="0"/>
        <v>0.5149999999999999</v>
      </c>
      <c r="F11" s="8">
        <v>0.437</v>
      </c>
      <c r="G11" s="7">
        <v>-0.36449999999999999</v>
      </c>
      <c r="H11" s="7">
        <v>-0.33379999999999999</v>
      </c>
      <c r="I11" s="7">
        <v>22</v>
      </c>
      <c r="J11" s="7">
        <v>50</v>
      </c>
      <c r="K11" s="7">
        <v>6</v>
      </c>
      <c r="L11" s="7">
        <v>18</v>
      </c>
      <c r="M11" s="7">
        <v>118.71</v>
      </c>
      <c r="N11" s="7">
        <v>0</v>
      </c>
      <c r="O11" s="7">
        <v>7.2869999999999999</v>
      </c>
      <c r="P11" s="7">
        <v>53</v>
      </c>
      <c r="Q11" s="7">
        <v>4</v>
      </c>
      <c r="R11" s="7">
        <v>1.96</v>
      </c>
      <c r="S11" s="7">
        <v>2.5499999999999998</v>
      </c>
      <c r="T11" s="7">
        <v>2.5499999999999998</v>
      </c>
      <c r="U11" s="7">
        <v>2.5499999999999998</v>
      </c>
      <c r="V11" s="7">
        <v>7.65</v>
      </c>
      <c r="W11">
        <v>0.72507500000000003</v>
      </c>
      <c r="X11">
        <v>52.390999999999998</v>
      </c>
    </row>
    <row r="12" spans="1:24">
      <c r="A12" s="7" t="s">
        <v>61</v>
      </c>
      <c r="B12" s="7" t="s">
        <v>62</v>
      </c>
      <c r="C12" s="7">
        <v>1.3069999999999999</v>
      </c>
      <c r="D12" s="7">
        <v>1.5860000000000001</v>
      </c>
      <c r="E12" s="7">
        <f t="shared" si="0"/>
        <v>0.27900000000000014</v>
      </c>
      <c r="F12" s="8">
        <v>0.27500000000000002</v>
      </c>
      <c r="G12" s="7">
        <v>-0.40560000000000002</v>
      </c>
      <c r="H12" s="7">
        <v>-0.33729999999999999</v>
      </c>
      <c r="I12" s="7">
        <v>18.899999999999999</v>
      </c>
      <c r="J12" s="7">
        <v>22</v>
      </c>
      <c r="K12" s="7">
        <v>30</v>
      </c>
      <c r="L12" s="7">
        <v>64</v>
      </c>
      <c r="M12" s="7">
        <v>47.866999999999997</v>
      </c>
      <c r="N12" s="7">
        <v>0</v>
      </c>
      <c r="O12" s="7">
        <v>4.5060000000000002</v>
      </c>
      <c r="P12" s="7">
        <v>100</v>
      </c>
      <c r="Q12" s="7">
        <v>4</v>
      </c>
      <c r="R12" s="7">
        <v>1.54</v>
      </c>
      <c r="S12" s="7">
        <v>12.75</v>
      </c>
      <c r="T12" s="10">
        <v>3.16</v>
      </c>
      <c r="U12" s="10">
        <v>3.16</v>
      </c>
      <c r="V12" s="7">
        <v>19.07</v>
      </c>
      <c r="W12">
        <v>1.1094459999999999</v>
      </c>
      <c r="X12">
        <v>67.132000000000005</v>
      </c>
    </row>
    <row r="13" spans="1:24">
      <c r="A13" s="7" t="s">
        <v>63</v>
      </c>
      <c r="B13" s="7" t="s">
        <v>64</v>
      </c>
      <c r="C13" s="7">
        <v>0.11600000000000001</v>
      </c>
      <c r="D13" s="7">
        <v>0.504</v>
      </c>
      <c r="E13" s="7">
        <f t="shared" si="0"/>
        <v>0.38800000000000001</v>
      </c>
      <c r="F13" s="8">
        <v>0.34399999999999997</v>
      </c>
      <c r="G13" s="7">
        <v>-0.37290000000000001</v>
      </c>
      <c r="H13" s="7">
        <v>-0.36370000000000002</v>
      </c>
      <c r="I13" s="7">
        <v>19.899999999999999</v>
      </c>
      <c r="J13" s="7">
        <v>74</v>
      </c>
      <c r="K13" s="7">
        <v>30</v>
      </c>
      <c r="L13" s="7">
        <v>48</v>
      </c>
      <c r="M13" s="7">
        <v>183.84</v>
      </c>
      <c r="N13" s="7">
        <v>0</v>
      </c>
      <c r="O13" s="7">
        <v>19.3</v>
      </c>
      <c r="P13" s="7">
        <v>68</v>
      </c>
      <c r="Q13" s="7">
        <v>6</v>
      </c>
      <c r="R13" s="7">
        <v>1.7</v>
      </c>
      <c r="S13" s="7">
        <v>12.75</v>
      </c>
      <c r="T13" s="7">
        <v>2.5499999999999998</v>
      </c>
      <c r="U13" s="7">
        <v>2.5499999999999998</v>
      </c>
      <c r="V13" s="7">
        <v>20.399999999999999</v>
      </c>
      <c r="W13">
        <v>0.78424300000000002</v>
      </c>
      <c r="X13">
        <v>76.69</v>
      </c>
    </row>
    <row r="14" spans="1:24">
      <c r="A14" s="7" t="s">
        <v>66</v>
      </c>
      <c r="B14" s="7" t="s">
        <v>80</v>
      </c>
      <c r="C14">
        <v>1.2709999999999999</v>
      </c>
      <c r="D14">
        <v>1.952</v>
      </c>
      <c r="E14" s="7">
        <f t="shared" si="0"/>
        <v>0.68100000000000005</v>
      </c>
      <c r="F14" s="15">
        <v>0.68400000000000005</v>
      </c>
      <c r="G14">
        <v>-0.3952</v>
      </c>
      <c r="H14">
        <v>-0.31519999999999998</v>
      </c>
      <c r="I14">
        <v>18.2</v>
      </c>
      <c r="J14">
        <v>13</v>
      </c>
      <c r="K14">
        <v>6</v>
      </c>
      <c r="L14" s="7">
        <v>23</v>
      </c>
      <c r="M14">
        <v>26.981538499999999</v>
      </c>
      <c r="N14">
        <v>0</v>
      </c>
      <c r="O14">
        <v>2.7</v>
      </c>
      <c r="P14">
        <v>57.8</v>
      </c>
      <c r="Q14">
        <v>3</v>
      </c>
      <c r="R14">
        <v>1.61</v>
      </c>
      <c r="S14">
        <v>2.5499999999999998</v>
      </c>
      <c r="T14">
        <v>3.16</v>
      </c>
      <c r="U14">
        <v>0</v>
      </c>
      <c r="V14">
        <v>5.71</v>
      </c>
      <c r="X14">
        <v>38.904000000000003</v>
      </c>
    </row>
    <row r="15" spans="1:24">
      <c r="A15" s="7" t="s">
        <v>67</v>
      </c>
      <c r="B15" s="7" t="s">
        <v>81</v>
      </c>
      <c r="C15">
        <v>1.93</v>
      </c>
      <c r="D15">
        <v>2.1970000000000001</v>
      </c>
      <c r="E15" s="7">
        <f t="shared" si="0"/>
        <v>0.26700000000000013</v>
      </c>
      <c r="F15" s="15">
        <v>0.22900000000000001</v>
      </c>
      <c r="G15">
        <v>-0.37030000000000002</v>
      </c>
      <c r="H15">
        <v>-0.24229999999999999</v>
      </c>
      <c r="I15">
        <v>19.5</v>
      </c>
      <c r="J15">
        <v>33</v>
      </c>
      <c r="K15">
        <v>6</v>
      </c>
      <c r="L15" s="7">
        <v>29</v>
      </c>
      <c r="M15">
        <v>74.921594999999996</v>
      </c>
      <c r="N15">
        <v>1</v>
      </c>
      <c r="O15">
        <v>5.75</v>
      </c>
      <c r="P15">
        <v>30</v>
      </c>
      <c r="Q15">
        <v>5</v>
      </c>
      <c r="R15">
        <v>2.1800000000000002</v>
      </c>
      <c r="S15">
        <v>2.5499999999999998</v>
      </c>
      <c r="T15">
        <v>2.5499999999999998</v>
      </c>
      <c r="U15">
        <v>3.98</v>
      </c>
      <c r="V15">
        <v>8.26</v>
      </c>
      <c r="X15">
        <v>55.100999999999999</v>
      </c>
    </row>
    <row r="16" spans="1:24">
      <c r="A16" s="7" t="s">
        <v>68</v>
      </c>
      <c r="B16" s="7" t="s">
        <v>82</v>
      </c>
      <c r="C16">
        <v>1.6080000000000001</v>
      </c>
      <c r="D16">
        <v>1.964</v>
      </c>
      <c r="E16" s="7">
        <f t="shared" si="0"/>
        <v>0.35599999999999987</v>
      </c>
      <c r="F16" s="15">
        <v>0.29399999999999998</v>
      </c>
      <c r="G16">
        <v>-0.35260000000000002</v>
      </c>
      <c r="H16">
        <v>-0.22600000000000001</v>
      </c>
      <c r="I16">
        <v>20.8</v>
      </c>
      <c r="J16">
        <v>83</v>
      </c>
      <c r="K16">
        <v>1</v>
      </c>
      <c r="L16" s="7">
        <v>13</v>
      </c>
      <c r="M16">
        <v>208.9804</v>
      </c>
      <c r="N16">
        <v>1</v>
      </c>
      <c r="O16">
        <v>9.7899999999999991</v>
      </c>
      <c r="P16">
        <v>48</v>
      </c>
      <c r="Q16">
        <v>5</v>
      </c>
      <c r="R16">
        <v>1.9</v>
      </c>
      <c r="S16">
        <v>2.2000000000000002</v>
      </c>
      <c r="T16">
        <v>2.5499999999999998</v>
      </c>
      <c r="U16">
        <v>2.5499999999999998</v>
      </c>
      <c r="V16">
        <v>7.3</v>
      </c>
      <c r="X16">
        <v>39.520000000000003</v>
      </c>
    </row>
    <row r="17" spans="1:24">
      <c r="A17" s="7" t="s">
        <v>69</v>
      </c>
      <c r="B17" s="7" t="s">
        <v>83</v>
      </c>
      <c r="C17">
        <v>0.39800000000000002</v>
      </c>
      <c r="D17">
        <v>0.64200000000000002</v>
      </c>
      <c r="E17" s="7">
        <f t="shared" si="0"/>
        <v>0.24399999999999999</v>
      </c>
      <c r="F17" s="15">
        <v>0.21099999999999999</v>
      </c>
      <c r="G17">
        <v>-0.35580000000000001</v>
      </c>
      <c r="H17">
        <v>-0.33360000000000001</v>
      </c>
      <c r="I17">
        <v>17</v>
      </c>
      <c r="J17">
        <v>26</v>
      </c>
      <c r="K17">
        <v>6</v>
      </c>
      <c r="L17" s="7">
        <v>42</v>
      </c>
      <c r="M17">
        <v>55.844999999999999</v>
      </c>
      <c r="N17">
        <v>0</v>
      </c>
      <c r="O17">
        <v>7.87</v>
      </c>
      <c r="P17">
        <v>62</v>
      </c>
      <c r="Q17">
        <v>8</v>
      </c>
      <c r="R17">
        <v>1.83</v>
      </c>
      <c r="S17">
        <v>2.5499999999999998</v>
      </c>
      <c r="T17">
        <v>2.5499999999999998</v>
      </c>
      <c r="U17">
        <v>0</v>
      </c>
      <c r="V17">
        <v>17.850000000000001</v>
      </c>
      <c r="X17">
        <v>68.843999999999994</v>
      </c>
    </row>
    <row r="18" spans="1:24">
      <c r="A18" s="7" t="s">
        <v>70</v>
      </c>
      <c r="B18" s="7" t="s">
        <v>84</v>
      </c>
      <c r="C18">
        <v>1.242</v>
      </c>
      <c r="D18">
        <v>1.911</v>
      </c>
      <c r="E18" s="7">
        <f t="shared" si="0"/>
        <v>0.66900000000000004</v>
      </c>
      <c r="F18" s="15">
        <v>0.623</v>
      </c>
      <c r="G18">
        <v>-0.38119999999999998</v>
      </c>
      <c r="H18">
        <v>-0.31159999999999999</v>
      </c>
      <c r="I18">
        <v>22.4</v>
      </c>
      <c r="J18">
        <v>31</v>
      </c>
      <c r="K18">
        <v>6</v>
      </c>
      <c r="L18" s="7">
        <v>23</v>
      </c>
      <c r="M18">
        <v>69.722999999999999</v>
      </c>
      <c r="N18">
        <v>0</v>
      </c>
      <c r="O18">
        <v>5.91</v>
      </c>
      <c r="P18">
        <v>50</v>
      </c>
      <c r="Q18">
        <v>3</v>
      </c>
      <c r="R18">
        <v>1.81</v>
      </c>
      <c r="S18">
        <v>2.5499999999999998</v>
      </c>
      <c r="T18">
        <v>3.16</v>
      </c>
      <c r="U18">
        <v>0</v>
      </c>
      <c r="V18">
        <v>5.71</v>
      </c>
      <c r="X18">
        <v>62.55</v>
      </c>
    </row>
    <row r="19" spans="1:24">
      <c r="A19" s="7" t="s">
        <v>71</v>
      </c>
      <c r="B19" s="7" t="s">
        <v>85</v>
      </c>
      <c r="C19">
        <v>1.4179999999999999</v>
      </c>
      <c r="D19">
        <v>1.9259999999999999</v>
      </c>
      <c r="E19" s="7">
        <f t="shared" si="0"/>
        <v>0.50800000000000001</v>
      </c>
      <c r="F19" s="15">
        <v>0.43099999999999999</v>
      </c>
      <c r="G19">
        <v>-0.40739999999999998</v>
      </c>
      <c r="H19">
        <v>-0.34620000000000001</v>
      </c>
      <c r="I19">
        <v>20.5</v>
      </c>
      <c r="J19">
        <v>32</v>
      </c>
      <c r="K19">
        <v>6</v>
      </c>
      <c r="L19" s="7">
        <v>29</v>
      </c>
      <c r="M19">
        <v>72.63</v>
      </c>
      <c r="N19">
        <v>0</v>
      </c>
      <c r="O19">
        <v>5.3234000000000004</v>
      </c>
      <c r="P19">
        <v>40</v>
      </c>
      <c r="Q19">
        <v>4</v>
      </c>
      <c r="R19">
        <v>2.0099999999999998</v>
      </c>
      <c r="S19">
        <v>2.5499999999999998</v>
      </c>
      <c r="T19">
        <v>2.5499999999999998</v>
      </c>
      <c r="U19">
        <v>3.16</v>
      </c>
      <c r="V19">
        <v>8.26</v>
      </c>
      <c r="X19">
        <v>58.905000000000001</v>
      </c>
    </row>
    <row r="20" spans="1:24">
      <c r="A20" s="7" t="s">
        <v>72</v>
      </c>
      <c r="B20" s="7" t="s">
        <v>86</v>
      </c>
      <c r="C20">
        <v>1.2989999999999999</v>
      </c>
      <c r="D20">
        <v>2.113</v>
      </c>
      <c r="E20" s="7">
        <f t="shared" si="0"/>
        <v>0.81400000000000006</v>
      </c>
      <c r="F20" s="15">
        <v>0.78700000000000003</v>
      </c>
      <c r="G20">
        <v>-0.39610000000000001</v>
      </c>
      <c r="H20">
        <v>-0.33860000000000001</v>
      </c>
      <c r="I20">
        <v>19.600000000000001</v>
      </c>
      <c r="J20">
        <v>49</v>
      </c>
      <c r="K20">
        <v>6</v>
      </c>
      <c r="L20" s="7">
        <v>23</v>
      </c>
      <c r="M20">
        <v>114.818</v>
      </c>
      <c r="N20">
        <v>0</v>
      </c>
      <c r="O20">
        <v>7.31</v>
      </c>
      <c r="P20">
        <v>65</v>
      </c>
      <c r="Q20">
        <v>3</v>
      </c>
      <c r="R20">
        <v>1.78</v>
      </c>
      <c r="S20">
        <v>2.5499999999999998</v>
      </c>
      <c r="T20">
        <v>3.16</v>
      </c>
      <c r="U20">
        <v>0</v>
      </c>
      <c r="V20">
        <v>5.71</v>
      </c>
      <c r="X20">
        <v>35.85</v>
      </c>
    </row>
    <row r="21" spans="1:24">
      <c r="A21" s="7" t="s">
        <v>73</v>
      </c>
      <c r="B21" s="7" t="s">
        <v>87</v>
      </c>
      <c r="C21">
        <v>-0.108</v>
      </c>
      <c r="D21">
        <v>0.25800000000000001</v>
      </c>
      <c r="E21" s="7">
        <f t="shared" si="0"/>
        <v>0.36599999999999999</v>
      </c>
      <c r="F21" s="15">
        <v>0.151</v>
      </c>
      <c r="G21">
        <v>-0.36980000000000002</v>
      </c>
      <c r="H21">
        <v>-0.36009999999999998</v>
      </c>
      <c r="I21">
        <v>19.3</v>
      </c>
      <c r="J21">
        <v>42</v>
      </c>
      <c r="K21">
        <v>6</v>
      </c>
      <c r="L21" s="7">
        <v>48</v>
      </c>
      <c r="M21">
        <v>95.95</v>
      </c>
      <c r="N21">
        <v>0</v>
      </c>
      <c r="O21">
        <v>10.199999999999999</v>
      </c>
      <c r="P21">
        <v>87</v>
      </c>
      <c r="Q21">
        <v>6</v>
      </c>
      <c r="R21">
        <v>2.16</v>
      </c>
      <c r="S21">
        <v>2.5499999999999998</v>
      </c>
      <c r="T21">
        <v>2.5499999999999998</v>
      </c>
      <c r="U21">
        <v>2.5499999999999998</v>
      </c>
      <c r="V21">
        <v>20.399999999999999</v>
      </c>
      <c r="X21">
        <v>76.742999999999995</v>
      </c>
    </row>
    <row r="22" spans="1:24">
      <c r="A22" s="7" t="s">
        <v>74</v>
      </c>
      <c r="B22" s="7" t="s">
        <v>88</v>
      </c>
      <c r="C22">
        <v>1.774</v>
      </c>
      <c r="D22">
        <v>1.9590000000000001</v>
      </c>
      <c r="E22" s="7">
        <f t="shared" si="0"/>
        <v>0.18500000000000005</v>
      </c>
      <c r="F22" s="15">
        <v>0.17299999999999999</v>
      </c>
      <c r="G22">
        <v>-0.35</v>
      </c>
      <c r="H22">
        <v>-0.252</v>
      </c>
      <c r="I22">
        <v>19.2</v>
      </c>
      <c r="J22">
        <v>15</v>
      </c>
      <c r="K22">
        <v>6</v>
      </c>
      <c r="L22" s="7">
        <v>29</v>
      </c>
      <c r="M22">
        <v>30.973761998000001</v>
      </c>
      <c r="N22">
        <v>1</v>
      </c>
      <c r="O22">
        <v>1.823</v>
      </c>
      <c r="P22">
        <v>25</v>
      </c>
      <c r="Q22">
        <v>5</v>
      </c>
      <c r="R22">
        <v>2.19</v>
      </c>
      <c r="S22">
        <v>2.5499999999999998</v>
      </c>
      <c r="T22">
        <v>2.5499999999999998</v>
      </c>
      <c r="U22">
        <v>3.98</v>
      </c>
      <c r="V22">
        <v>8.26</v>
      </c>
      <c r="X22">
        <v>57.043999999999997</v>
      </c>
    </row>
    <row r="23" spans="1:24">
      <c r="A23" s="7" t="s">
        <v>75</v>
      </c>
      <c r="B23" s="7" t="s">
        <v>89</v>
      </c>
      <c r="C23">
        <v>1.5349999999999999</v>
      </c>
      <c r="D23">
        <v>2.0569999999999999</v>
      </c>
      <c r="E23" s="7">
        <f t="shared" si="0"/>
        <v>0.52200000000000002</v>
      </c>
      <c r="F23" s="15">
        <v>0.48699999999999999</v>
      </c>
      <c r="G23">
        <v>-0.38179999999999997</v>
      </c>
      <c r="H23">
        <v>-0.35310000000000002</v>
      </c>
      <c r="I23">
        <v>21.1</v>
      </c>
      <c r="J23">
        <v>82</v>
      </c>
      <c r="K23">
        <v>6</v>
      </c>
      <c r="L23" s="7">
        <v>29</v>
      </c>
      <c r="M23">
        <v>207.2</v>
      </c>
      <c r="N23">
        <v>0</v>
      </c>
      <c r="O23">
        <v>11.3</v>
      </c>
      <c r="P23">
        <v>47</v>
      </c>
      <c r="Q23">
        <v>4</v>
      </c>
      <c r="R23">
        <v>1.8</v>
      </c>
      <c r="S23">
        <v>2.5499999999999998</v>
      </c>
      <c r="T23">
        <v>2.5499999999999998</v>
      </c>
      <c r="U23">
        <v>3.16</v>
      </c>
      <c r="V23">
        <v>8.26</v>
      </c>
      <c r="X23">
        <v>52.194000000000003</v>
      </c>
    </row>
    <row r="24" spans="1:24">
      <c r="A24" s="7" t="s">
        <v>76</v>
      </c>
      <c r="B24" s="7" t="s">
        <v>90</v>
      </c>
      <c r="C24">
        <v>6.2E-2</v>
      </c>
      <c r="D24">
        <v>0.377</v>
      </c>
      <c r="E24" s="7">
        <f t="shared" si="0"/>
        <v>0.315</v>
      </c>
      <c r="F24" s="15">
        <v>0.26500000000000001</v>
      </c>
      <c r="G24">
        <v>-0.3594</v>
      </c>
      <c r="H24">
        <v>-0.35770000000000002</v>
      </c>
      <c r="I24">
        <v>22.3</v>
      </c>
      <c r="J24">
        <v>16</v>
      </c>
      <c r="K24">
        <v>6</v>
      </c>
      <c r="L24" s="7">
        <v>6</v>
      </c>
      <c r="M24">
        <v>32.06</v>
      </c>
      <c r="N24">
        <v>0</v>
      </c>
      <c r="O24">
        <v>2.0699999999999998</v>
      </c>
      <c r="P24">
        <v>19.399999999999999</v>
      </c>
      <c r="Q24">
        <v>6</v>
      </c>
      <c r="R24">
        <v>2.58</v>
      </c>
      <c r="S24">
        <v>2.5499999999999998</v>
      </c>
      <c r="T24">
        <v>0</v>
      </c>
      <c r="U24">
        <v>0</v>
      </c>
      <c r="V24">
        <v>2.5499999999999998</v>
      </c>
      <c r="X24">
        <v>55.408000000000001</v>
      </c>
    </row>
    <row r="25" spans="1:24">
      <c r="A25" s="7" t="s">
        <v>77</v>
      </c>
      <c r="B25" s="7" t="s">
        <v>91</v>
      </c>
      <c r="C25">
        <v>1.931</v>
      </c>
      <c r="D25">
        <v>2.2200000000000002</v>
      </c>
      <c r="E25" s="7">
        <f t="shared" si="0"/>
        <v>0.28900000000000015</v>
      </c>
      <c r="F25" s="15">
        <v>0.22</v>
      </c>
      <c r="G25">
        <v>-0.36249999999999999</v>
      </c>
      <c r="H25">
        <v>-0.2442</v>
      </c>
      <c r="I25">
        <v>20.7</v>
      </c>
      <c r="J25">
        <v>51</v>
      </c>
      <c r="K25">
        <v>6</v>
      </c>
      <c r="L25" s="7">
        <v>29</v>
      </c>
      <c r="M25">
        <v>121.76</v>
      </c>
      <c r="N25">
        <v>1</v>
      </c>
      <c r="O25">
        <v>6.68</v>
      </c>
      <c r="P25">
        <v>43</v>
      </c>
      <c r="Q25">
        <v>5</v>
      </c>
      <c r="R25">
        <v>2.0499999999999998</v>
      </c>
      <c r="S25">
        <v>2.5499999999999998</v>
      </c>
      <c r="T25">
        <v>2.5499999999999998</v>
      </c>
      <c r="U25">
        <v>3.16</v>
      </c>
      <c r="V25">
        <v>8.26</v>
      </c>
      <c r="X25">
        <v>56.185000000000002</v>
      </c>
    </row>
    <row r="26" spans="1:24">
      <c r="A26" s="7" t="s">
        <v>78</v>
      </c>
      <c r="B26" s="7" t="s">
        <v>92</v>
      </c>
      <c r="C26">
        <v>1.635</v>
      </c>
      <c r="D26">
        <v>2.2370000000000001</v>
      </c>
      <c r="E26" s="7">
        <f t="shared" si="0"/>
        <v>0.60200000000000009</v>
      </c>
      <c r="F26" s="15">
        <v>0.52800000000000002</v>
      </c>
      <c r="G26">
        <v>-0.40579999999999999</v>
      </c>
      <c r="H26">
        <v>-0.3614</v>
      </c>
      <c r="I26">
        <v>20.8</v>
      </c>
      <c r="J26">
        <v>50</v>
      </c>
      <c r="K26">
        <v>6</v>
      </c>
      <c r="L26" s="7">
        <v>29</v>
      </c>
      <c r="M26">
        <v>118.71</v>
      </c>
      <c r="N26">
        <v>0</v>
      </c>
      <c r="O26">
        <v>7.2869999999999999</v>
      </c>
      <c r="P26">
        <v>53</v>
      </c>
      <c r="Q26">
        <v>4</v>
      </c>
      <c r="R26">
        <v>1.96</v>
      </c>
      <c r="S26">
        <v>2.5499999999999998</v>
      </c>
      <c r="T26">
        <v>2.5499999999999998</v>
      </c>
      <c r="U26">
        <v>3.16</v>
      </c>
      <c r="V26">
        <v>8.26</v>
      </c>
      <c r="X26">
        <v>55.008000000000003</v>
      </c>
    </row>
    <row r="27" spans="1:24">
      <c r="A27" s="7" t="s">
        <v>79</v>
      </c>
      <c r="B27" s="11" t="s">
        <v>100</v>
      </c>
      <c r="C27">
        <v>1.129</v>
      </c>
      <c r="D27">
        <v>1.7030000000000001</v>
      </c>
      <c r="E27" s="7">
        <f t="shared" si="0"/>
        <v>0.57400000000000007</v>
      </c>
      <c r="F27" s="15">
        <v>0.52800000000000002</v>
      </c>
      <c r="G27">
        <v>-0.37209999999999999</v>
      </c>
      <c r="H27">
        <v>-0.32950000000000002</v>
      </c>
      <c r="I27">
        <v>23.3</v>
      </c>
      <c r="J27">
        <v>81</v>
      </c>
      <c r="K27">
        <v>6</v>
      </c>
      <c r="L27" s="7">
        <v>23</v>
      </c>
      <c r="M27">
        <v>204.38</v>
      </c>
      <c r="N27">
        <v>0</v>
      </c>
      <c r="O27">
        <v>11.8</v>
      </c>
      <c r="P27">
        <v>50</v>
      </c>
      <c r="Q27">
        <v>3</v>
      </c>
      <c r="R27">
        <v>1.8</v>
      </c>
      <c r="S27">
        <v>2.5499999999999998</v>
      </c>
      <c r="T27">
        <v>3.16</v>
      </c>
      <c r="U27">
        <v>0</v>
      </c>
      <c r="V27">
        <v>5.71</v>
      </c>
      <c r="X27">
        <v>58.561999999999998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Non-Metal</vt:lpstr>
      <vt:lpstr>Metal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贺明 东</cp:lastModifiedBy>
  <dcterms:created xsi:type="dcterms:W3CDTF">2015-06-05T18:19:00Z</dcterms:created>
  <dcterms:modified xsi:type="dcterms:W3CDTF">2026-09-27T07:30:39Z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0AE72BAD84044636BE7B8B250F53C0F7_12</vt:lpwstr>
  </property>
  <property fmtid="{D5CDD505-2E9C-101B-9397-08002B2CF9AE}" pid="3" name="KSOProductBuildVer">
    <vt:lpwstr>2052-12.1.0.21541</vt:lpwstr>
  </property>
</Properties>
</file>